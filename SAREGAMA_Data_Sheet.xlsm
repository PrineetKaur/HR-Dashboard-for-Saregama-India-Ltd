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esegnet-my.sharepoint.com/personal/kiran_tirumalelakshmanarao_ieseg_fr/Documents/02. Group Assignments (Shared Folder)/02. Excel Group Assignment-SAREGAMA/"/>
    </mc:Choice>
  </mc:AlternateContent>
  <xr:revisionPtr revIDLastSave="16" documentId="13_ncr:1_{2C5937CC-E4B5-484D-A000-7A6A764B4D73}" xr6:coauthVersionLast="45" xr6:coauthVersionMax="45" xr10:uidLastSave="{44A71F34-D1EE-43F7-8FFA-887D67B22B01}"/>
  <bookViews>
    <workbookView minimized="1" xWindow="0" yWindow="932" windowWidth="23234" windowHeight="10225" activeTab="3" xr2:uid="{00000000-000D-0000-FFFF-FFFF00000000}"/>
  </bookViews>
  <sheets>
    <sheet name="Employee Onboarding" sheetId="1" r:id="rId1"/>
    <sheet name="Employee Details" sheetId="2" r:id="rId2"/>
    <sheet name="Exit Formalities" sheetId="3" r:id="rId3"/>
    <sheet name="Diversity" sheetId="6" r:id="rId4"/>
    <sheet name="Lists" sheetId="5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T176" i="2" l="1"/>
  <c r="T301" i="2"/>
  <c r="T269" i="2"/>
  <c r="T165" i="2"/>
  <c r="T117" i="2"/>
  <c r="T133" i="2"/>
  <c r="T181" i="2"/>
  <c r="T293" i="2"/>
  <c r="T237" i="2"/>
  <c r="T245" i="2"/>
  <c r="T205" i="2"/>
  <c r="T109" i="2"/>
  <c r="T93" i="2"/>
  <c r="T69" i="2"/>
  <c r="T261" i="2"/>
  <c r="T253" i="2"/>
  <c r="T157" i="2"/>
  <c r="T285" i="2"/>
  <c r="T202" i="2"/>
  <c r="T101" i="2"/>
  <c r="T61" i="2"/>
  <c r="T53" i="2"/>
  <c r="T268" i="2"/>
  <c r="T229" i="2"/>
  <c r="T300" i="2"/>
  <c r="T2" i="2"/>
  <c r="T3" i="2"/>
  <c r="T277" i="2"/>
  <c r="T189" i="2"/>
  <c r="T180" i="2"/>
  <c r="T124" i="2"/>
  <c r="T84" i="2"/>
  <c r="T76" i="2"/>
  <c r="T28" i="2"/>
  <c r="T291" i="2"/>
  <c r="T267" i="2"/>
  <c r="T259" i="2"/>
  <c r="T251" i="2"/>
  <c r="T243" i="2"/>
  <c r="T235" i="2"/>
  <c r="T227" i="2"/>
  <c r="T219" i="2"/>
  <c r="T211" i="2"/>
  <c r="T203" i="2"/>
  <c r="T195" i="2"/>
  <c r="T187" i="2"/>
  <c r="T179" i="2"/>
  <c r="T171" i="2"/>
  <c r="T163" i="2"/>
  <c r="T155" i="2"/>
  <c r="T147" i="2"/>
  <c r="T139" i="2"/>
  <c r="T131" i="2"/>
  <c r="T123" i="2"/>
  <c r="T115" i="2"/>
  <c r="T107" i="2"/>
  <c r="T99" i="2"/>
  <c r="T91" i="2"/>
  <c r="T83" i="2"/>
  <c r="T75" i="2"/>
  <c r="T67" i="2"/>
  <c r="T59" i="2"/>
  <c r="T51" i="2"/>
  <c r="T43" i="2"/>
  <c r="T35" i="2"/>
  <c r="T27" i="2"/>
  <c r="T19" i="2"/>
  <c r="T11" i="2"/>
  <c r="T213" i="2"/>
  <c r="T141" i="2"/>
  <c r="T29" i="2"/>
  <c r="T284" i="2"/>
  <c r="T244" i="2"/>
  <c r="T140" i="2"/>
  <c r="T68" i="2"/>
  <c r="T20" i="2"/>
  <c r="T299" i="2"/>
  <c r="T298" i="2"/>
  <c r="T274" i="2"/>
  <c r="T266" i="2"/>
  <c r="T258" i="2"/>
  <c r="T250" i="2"/>
  <c r="T242" i="2"/>
  <c r="T234" i="2"/>
  <c r="T226" i="2"/>
  <c r="T218" i="2"/>
  <c r="T210" i="2"/>
  <c r="T194" i="2"/>
  <c r="T186" i="2"/>
  <c r="T178" i="2"/>
  <c r="T170" i="2"/>
  <c r="T162" i="2"/>
  <c r="T154" i="2"/>
  <c r="T146" i="2"/>
  <c r="T138" i="2"/>
  <c r="T130" i="2"/>
  <c r="T122" i="2"/>
  <c r="T114" i="2"/>
  <c r="T106" i="2"/>
  <c r="T98" i="2"/>
  <c r="T90" i="2"/>
  <c r="T82" i="2"/>
  <c r="T74" i="2"/>
  <c r="T66" i="2"/>
  <c r="T58" i="2"/>
  <c r="T50" i="2"/>
  <c r="T42" i="2"/>
  <c r="T34" i="2"/>
  <c r="T26" i="2"/>
  <c r="T18" i="2"/>
  <c r="T10" i="2"/>
  <c r="T221" i="2"/>
  <c r="T85" i="2"/>
  <c r="T13" i="2"/>
  <c r="T276" i="2"/>
  <c r="T236" i="2"/>
  <c r="T212" i="2"/>
  <c r="T172" i="2"/>
  <c r="T132" i="2"/>
  <c r="T100" i="2"/>
  <c r="T60" i="2"/>
  <c r="T44" i="2"/>
  <c r="T283" i="2"/>
  <c r="T275" i="2"/>
  <c r="T290" i="2"/>
  <c r="T282" i="2"/>
  <c r="T297" i="2"/>
  <c r="T289" i="2"/>
  <c r="T281" i="2"/>
  <c r="T273" i="2"/>
  <c r="T265" i="2"/>
  <c r="T257" i="2"/>
  <c r="T249" i="2"/>
  <c r="T241" i="2"/>
  <c r="T233" i="2"/>
  <c r="T225" i="2"/>
  <c r="T217" i="2"/>
  <c r="T209" i="2"/>
  <c r="T201" i="2"/>
  <c r="T193" i="2"/>
  <c r="T185" i="2"/>
  <c r="T177" i="2"/>
  <c r="T169" i="2"/>
  <c r="T161" i="2"/>
  <c r="T153" i="2"/>
  <c r="T145" i="2"/>
  <c r="T137" i="2"/>
  <c r="T129" i="2"/>
  <c r="T121" i="2"/>
  <c r="T113" i="2"/>
  <c r="T105" i="2"/>
  <c r="T97" i="2"/>
  <c r="T89" i="2"/>
  <c r="T81" i="2"/>
  <c r="T73" i="2"/>
  <c r="T65" i="2"/>
  <c r="T57" i="2"/>
  <c r="T49" i="2"/>
  <c r="T41" i="2"/>
  <c r="T33" i="2"/>
  <c r="T25" i="2"/>
  <c r="T17" i="2"/>
  <c r="T9" i="2"/>
  <c r="T37" i="2"/>
  <c r="T228" i="2"/>
  <c r="T196" i="2"/>
  <c r="T148" i="2"/>
  <c r="T92" i="2"/>
  <c r="T52" i="2"/>
  <c r="T36" i="2"/>
  <c r="T288" i="2"/>
  <c r="T256" i="2"/>
  <c r="T248" i="2"/>
  <c r="T240" i="2"/>
  <c r="T232" i="2"/>
  <c r="T224" i="2"/>
  <c r="T216" i="2"/>
  <c r="T208" i="2"/>
  <c r="T200" i="2"/>
  <c r="T192" i="2"/>
  <c r="T184" i="2"/>
  <c r="T168" i="2"/>
  <c r="T160" i="2"/>
  <c r="T152" i="2"/>
  <c r="T144" i="2"/>
  <c r="T136" i="2"/>
  <c r="T128" i="2"/>
  <c r="T120" i="2"/>
  <c r="T112" i="2"/>
  <c r="T104" i="2"/>
  <c r="T96" i="2"/>
  <c r="T88" i="2"/>
  <c r="T80" i="2"/>
  <c r="T72" i="2"/>
  <c r="T64" i="2"/>
  <c r="T56" i="2"/>
  <c r="T48" i="2"/>
  <c r="T40" i="2"/>
  <c r="T32" i="2"/>
  <c r="T24" i="2"/>
  <c r="T16" i="2"/>
  <c r="T8" i="2"/>
  <c r="T173" i="2"/>
  <c r="T77" i="2"/>
  <c r="T45" i="2"/>
  <c r="T5" i="2"/>
  <c r="T252" i="2"/>
  <c r="T220" i="2"/>
  <c r="T204" i="2"/>
  <c r="T156" i="2"/>
  <c r="T108" i="2"/>
  <c r="T4" i="2"/>
  <c r="T280" i="2"/>
  <c r="T295" i="2"/>
  <c r="T287" i="2"/>
  <c r="T279" i="2"/>
  <c r="T271" i="2"/>
  <c r="T263" i="2"/>
  <c r="T255" i="2"/>
  <c r="T247" i="2"/>
  <c r="T239" i="2"/>
  <c r="T231" i="2"/>
  <c r="T223" i="2"/>
  <c r="T215" i="2"/>
  <c r="T207" i="2"/>
  <c r="T199" i="2"/>
  <c r="T191" i="2"/>
  <c r="T183" i="2"/>
  <c r="T175" i="2"/>
  <c r="T167" i="2"/>
  <c r="T159" i="2"/>
  <c r="T151" i="2"/>
  <c r="T143" i="2"/>
  <c r="T135" i="2"/>
  <c r="T127" i="2"/>
  <c r="T119" i="2"/>
  <c r="T111" i="2"/>
  <c r="T103" i="2"/>
  <c r="T95" i="2"/>
  <c r="T87" i="2"/>
  <c r="T79" i="2"/>
  <c r="T71" i="2"/>
  <c r="T63" i="2"/>
  <c r="T55" i="2"/>
  <c r="T47" i="2"/>
  <c r="T39" i="2"/>
  <c r="T31" i="2"/>
  <c r="T23" i="2"/>
  <c r="T15" i="2"/>
  <c r="T7" i="2"/>
  <c r="T197" i="2"/>
  <c r="T149" i="2"/>
  <c r="T125" i="2"/>
  <c r="T21" i="2"/>
  <c r="T292" i="2"/>
  <c r="T260" i="2"/>
  <c r="T188" i="2"/>
  <c r="T164" i="2"/>
  <c r="T116" i="2"/>
  <c r="T12" i="2"/>
  <c r="T296" i="2"/>
  <c r="T272" i="2"/>
  <c r="T264" i="2"/>
  <c r="T294" i="2"/>
  <c r="T286" i="2"/>
  <c r="T278" i="2"/>
  <c r="T270" i="2"/>
  <c r="T262" i="2"/>
  <c r="T254" i="2"/>
  <c r="T246" i="2"/>
  <c r="T238" i="2"/>
  <c r="T230" i="2"/>
  <c r="T222" i="2"/>
  <c r="T214" i="2"/>
  <c r="T206" i="2"/>
  <c r="T198" i="2"/>
  <c r="T190" i="2"/>
  <c r="T182" i="2"/>
  <c r="T174" i="2"/>
  <c r="T166" i="2"/>
  <c r="T158" i="2"/>
  <c r="T150" i="2"/>
  <c r="T142" i="2"/>
  <c r="T134" i="2"/>
  <c r="T126" i="2"/>
  <c r="T118" i="2"/>
  <c r="T110" i="2"/>
  <c r="T102" i="2"/>
  <c r="T94" i="2"/>
  <c r="T86" i="2"/>
  <c r="T78" i="2"/>
  <c r="T70" i="2"/>
  <c r="T62" i="2"/>
  <c r="T54" i="2"/>
  <c r="T46" i="2"/>
  <c r="T38" i="2"/>
  <c r="T30" i="2"/>
  <c r="T22" i="2"/>
  <c r="T14" i="2"/>
  <c r="T6" i="2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P2" i="2"/>
  <c r="E2" i="6" s="1"/>
  <c r="P3" i="2"/>
  <c r="E3" i="6" s="1"/>
  <c r="P4" i="2"/>
  <c r="E4" i="6" s="1"/>
  <c r="P5" i="2"/>
  <c r="E5" i="6" s="1"/>
  <c r="P6" i="2"/>
  <c r="E6" i="6" s="1"/>
  <c r="P7" i="2"/>
  <c r="E7" i="6" s="1"/>
  <c r="P8" i="2"/>
  <c r="E8" i="6" s="1"/>
  <c r="P9" i="2"/>
  <c r="E9" i="6" s="1"/>
  <c r="P10" i="2"/>
  <c r="E10" i="6" s="1"/>
  <c r="P11" i="2"/>
  <c r="E11" i="6" s="1"/>
  <c r="P12" i="2"/>
  <c r="E12" i="6" s="1"/>
  <c r="P13" i="2"/>
  <c r="E13" i="6" s="1"/>
  <c r="P14" i="2"/>
  <c r="E14" i="6" s="1"/>
  <c r="P15" i="2"/>
  <c r="E15" i="6" s="1"/>
  <c r="P16" i="2"/>
  <c r="E16" i="6" s="1"/>
  <c r="P17" i="2"/>
  <c r="E17" i="6" s="1"/>
  <c r="P18" i="2"/>
  <c r="E18" i="6" s="1"/>
  <c r="P19" i="2"/>
  <c r="E19" i="6" s="1"/>
  <c r="P20" i="2"/>
  <c r="E20" i="6" s="1"/>
  <c r="P21" i="2"/>
  <c r="E21" i="6" s="1"/>
  <c r="P22" i="2"/>
  <c r="E22" i="6" s="1"/>
  <c r="P23" i="2"/>
  <c r="E23" i="6" s="1"/>
  <c r="P24" i="2"/>
  <c r="E24" i="6" s="1"/>
  <c r="P25" i="2"/>
  <c r="E25" i="6" s="1"/>
  <c r="P26" i="2"/>
  <c r="E26" i="6" s="1"/>
  <c r="P27" i="2"/>
  <c r="E27" i="6" s="1"/>
  <c r="P28" i="2"/>
  <c r="E28" i="6" s="1"/>
  <c r="P29" i="2"/>
  <c r="E29" i="6" s="1"/>
  <c r="P30" i="2"/>
  <c r="E30" i="6" s="1"/>
  <c r="P31" i="2"/>
  <c r="E31" i="6" s="1"/>
  <c r="P32" i="2"/>
  <c r="E32" i="6" s="1"/>
  <c r="P33" i="2"/>
  <c r="E33" i="6" s="1"/>
  <c r="P34" i="2"/>
  <c r="E34" i="6" s="1"/>
  <c r="P35" i="2"/>
  <c r="E35" i="6" s="1"/>
  <c r="P36" i="2"/>
  <c r="E36" i="6" s="1"/>
  <c r="P37" i="2"/>
  <c r="E37" i="6" s="1"/>
  <c r="P38" i="2"/>
  <c r="E38" i="6" s="1"/>
  <c r="P39" i="2"/>
  <c r="E39" i="6" s="1"/>
  <c r="P40" i="2"/>
  <c r="E40" i="6" s="1"/>
  <c r="P41" i="2"/>
  <c r="E41" i="6" s="1"/>
  <c r="P42" i="2"/>
  <c r="E42" i="6" s="1"/>
  <c r="P43" i="2"/>
  <c r="E43" i="6" s="1"/>
  <c r="P44" i="2"/>
  <c r="E44" i="6" s="1"/>
  <c r="P45" i="2"/>
  <c r="E45" i="6" s="1"/>
  <c r="P46" i="2"/>
  <c r="E46" i="6" s="1"/>
  <c r="P47" i="2"/>
  <c r="E47" i="6" s="1"/>
  <c r="P48" i="2"/>
  <c r="E48" i="6" s="1"/>
  <c r="P49" i="2"/>
  <c r="E49" i="6" s="1"/>
  <c r="P50" i="2"/>
  <c r="E50" i="6" s="1"/>
  <c r="P51" i="2"/>
  <c r="E51" i="6" s="1"/>
  <c r="P52" i="2"/>
  <c r="E52" i="6" s="1"/>
  <c r="P53" i="2"/>
  <c r="E53" i="6" s="1"/>
  <c r="P54" i="2"/>
  <c r="E54" i="6" s="1"/>
  <c r="P55" i="2"/>
  <c r="E55" i="6" s="1"/>
  <c r="P56" i="2"/>
  <c r="E56" i="6" s="1"/>
  <c r="P57" i="2"/>
  <c r="E57" i="6" s="1"/>
  <c r="P58" i="2"/>
  <c r="E58" i="6" s="1"/>
  <c r="P59" i="2"/>
  <c r="E59" i="6" s="1"/>
  <c r="P60" i="2"/>
  <c r="E60" i="6" s="1"/>
  <c r="P61" i="2"/>
  <c r="E61" i="6" s="1"/>
  <c r="P62" i="2"/>
  <c r="E62" i="6" s="1"/>
  <c r="P63" i="2"/>
  <c r="E63" i="6" s="1"/>
  <c r="P64" i="2"/>
  <c r="E64" i="6" s="1"/>
  <c r="P65" i="2"/>
  <c r="E65" i="6" s="1"/>
  <c r="P66" i="2"/>
  <c r="E66" i="6" s="1"/>
  <c r="P67" i="2"/>
  <c r="E67" i="6" s="1"/>
  <c r="P68" i="2"/>
  <c r="E68" i="6" s="1"/>
  <c r="P69" i="2"/>
  <c r="E69" i="6" s="1"/>
  <c r="P70" i="2"/>
  <c r="E70" i="6" s="1"/>
  <c r="P71" i="2"/>
  <c r="E71" i="6" s="1"/>
  <c r="P72" i="2"/>
  <c r="E72" i="6" s="1"/>
  <c r="P73" i="2"/>
  <c r="E73" i="6" s="1"/>
  <c r="P74" i="2"/>
  <c r="E74" i="6" s="1"/>
  <c r="P75" i="2"/>
  <c r="E75" i="6" s="1"/>
  <c r="P76" i="2"/>
  <c r="E76" i="6" s="1"/>
  <c r="P77" i="2"/>
  <c r="E77" i="6" s="1"/>
  <c r="P78" i="2"/>
  <c r="E78" i="6" s="1"/>
  <c r="P79" i="2"/>
  <c r="E79" i="6" s="1"/>
  <c r="P80" i="2"/>
  <c r="E80" i="6" s="1"/>
  <c r="P81" i="2"/>
  <c r="E81" i="6" s="1"/>
  <c r="P82" i="2"/>
  <c r="E82" i="6" s="1"/>
  <c r="P83" i="2"/>
  <c r="E83" i="6" s="1"/>
  <c r="P84" i="2"/>
  <c r="E84" i="6" s="1"/>
  <c r="P85" i="2"/>
  <c r="E85" i="6" s="1"/>
  <c r="P86" i="2"/>
  <c r="E86" i="6" s="1"/>
  <c r="P87" i="2"/>
  <c r="E87" i="6" s="1"/>
  <c r="P88" i="2"/>
  <c r="E88" i="6" s="1"/>
  <c r="P89" i="2"/>
  <c r="E89" i="6" s="1"/>
  <c r="P90" i="2"/>
  <c r="E90" i="6" s="1"/>
  <c r="P91" i="2"/>
  <c r="E91" i="6" s="1"/>
  <c r="P92" i="2"/>
  <c r="E92" i="6" s="1"/>
  <c r="P93" i="2"/>
  <c r="E93" i="6" s="1"/>
  <c r="P94" i="2"/>
  <c r="E94" i="6" s="1"/>
  <c r="P95" i="2"/>
  <c r="E95" i="6" s="1"/>
  <c r="P96" i="2"/>
  <c r="E96" i="6" s="1"/>
  <c r="P97" i="2"/>
  <c r="E97" i="6" s="1"/>
  <c r="P98" i="2"/>
  <c r="E98" i="6" s="1"/>
  <c r="P99" i="2"/>
  <c r="E99" i="6" s="1"/>
  <c r="P100" i="2"/>
  <c r="E100" i="6" s="1"/>
  <c r="P101" i="2"/>
  <c r="E101" i="6" s="1"/>
  <c r="P102" i="2"/>
  <c r="E102" i="6" s="1"/>
  <c r="P103" i="2"/>
  <c r="E103" i="6" s="1"/>
  <c r="P104" i="2"/>
  <c r="E104" i="6" s="1"/>
  <c r="P105" i="2"/>
  <c r="E105" i="6" s="1"/>
  <c r="P106" i="2"/>
  <c r="E106" i="6" s="1"/>
  <c r="P107" i="2"/>
  <c r="E107" i="6" s="1"/>
  <c r="P108" i="2"/>
  <c r="E108" i="6" s="1"/>
  <c r="P109" i="2"/>
  <c r="E109" i="6" s="1"/>
  <c r="P110" i="2"/>
  <c r="E110" i="6" s="1"/>
  <c r="P111" i="2"/>
  <c r="E111" i="6" s="1"/>
  <c r="P112" i="2"/>
  <c r="E112" i="6" s="1"/>
  <c r="P113" i="2"/>
  <c r="E113" i="6" s="1"/>
  <c r="P114" i="2"/>
  <c r="E114" i="6" s="1"/>
  <c r="P115" i="2"/>
  <c r="E115" i="6" s="1"/>
  <c r="P116" i="2"/>
  <c r="E116" i="6" s="1"/>
  <c r="P117" i="2"/>
  <c r="E117" i="6" s="1"/>
  <c r="P118" i="2"/>
  <c r="E118" i="6" s="1"/>
  <c r="P119" i="2"/>
  <c r="E119" i="6" s="1"/>
  <c r="P120" i="2"/>
  <c r="E120" i="6" s="1"/>
  <c r="P121" i="2"/>
  <c r="E121" i="6" s="1"/>
  <c r="P122" i="2"/>
  <c r="E122" i="6" s="1"/>
  <c r="P123" i="2"/>
  <c r="E123" i="6" s="1"/>
  <c r="P124" i="2"/>
  <c r="E124" i="6" s="1"/>
  <c r="P125" i="2"/>
  <c r="E125" i="6" s="1"/>
  <c r="P126" i="2"/>
  <c r="E126" i="6" s="1"/>
  <c r="P127" i="2"/>
  <c r="E127" i="6" s="1"/>
  <c r="P128" i="2"/>
  <c r="E128" i="6" s="1"/>
  <c r="P129" i="2"/>
  <c r="E129" i="6" s="1"/>
  <c r="P130" i="2"/>
  <c r="E130" i="6" s="1"/>
  <c r="P131" i="2"/>
  <c r="E131" i="6" s="1"/>
  <c r="P132" i="2"/>
  <c r="E132" i="6" s="1"/>
  <c r="P133" i="2"/>
  <c r="E133" i="6" s="1"/>
  <c r="P134" i="2"/>
  <c r="E134" i="6" s="1"/>
  <c r="P135" i="2"/>
  <c r="E135" i="6" s="1"/>
  <c r="P136" i="2"/>
  <c r="E136" i="6" s="1"/>
  <c r="P137" i="2"/>
  <c r="E137" i="6" s="1"/>
  <c r="P138" i="2"/>
  <c r="E138" i="6" s="1"/>
  <c r="P139" i="2"/>
  <c r="E139" i="6" s="1"/>
  <c r="P140" i="2"/>
  <c r="E140" i="6" s="1"/>
  <c r="P141" i="2"/>
  <c r="E141" i="6" s="1"/>
  <c r="P142" i="2"/>
  <c r="E142" i="6" s="1"/>
  <c r="P143" i="2"/>
  <c r="E143" i="6" s="1"/>
  <c r="P144" i="2"/>
  <c r="E144" i="6" s="1"/>
  <c r="P145" i="2"/>
  <c r="E145" i="6" s="1"/>
  <c r="P146" i="2"/>
  <c r="E146" i="6" s="1"/>
  <c r="P147" i="2"/>
  <c r="E147" i="6" s="1"/>
  <c r="P148" i="2"/>
  <c r="E148" i="6" s="1"/>
  <c r="P149" i="2"/>
  <c r="E149" i="6" s="1"/>
  <c r="P150" i="2"/>
  <c r="E150" i="6" s="1"/>
  <c r="P151" i="2"/>
  <c r="E151" i="6" s="1"/>
  <c r="P152" i="2"/>
  <c r="E152" i="6" s="1"/>
  <c r="P153" i="2"/>
  <c r="E153" i="6" s="1"/>
  <c r="P154" i="2"/>
  <c r="E154" i="6" s="1"/>
  <c r="P155" i="2"/>
  <c r="E155" i="6" s="1"/>
  <c r="P156" i="2"/>
  <c r="E156" i="6" s="1"/>
  <c r="P157" i="2"/>
  <c r="E157" i="6" s="1"/>
  <c r="P158" i="2"/>
  <c r="E158" i="6" s="1"/>
  <c r="P159" i="2"/>
  <c r="E159" i="6" s="1"/>
  <c r="P160" i="2"/>
  <c r="E160" i="6" s="1"/>
  <c r="P161" i="2"/>
  <c r="E161" i="6" s="1"/>
  <c r="P162" i="2"/>
  <c r="E162" i="6" s="1"/>
  <c r="P163" i="2"/>
  <c r="E163" i="6" s="1"/>
  <c r="P164" i="2"/>
  <c r="E164" i="6" s="1"/>
  <c r="P165" i="2"/>
  <c r="E165" i="6" s="1"/>
  <c r="P166" i="2"/>
  <c r="E166" i="6" s="1"/>
  <c r="P167" i="2"/>
  <c r="E167" i="6" s="1"/>
  <c r="P168" i="2"/>
  <c r="E168" i="6" s="1"/>
  <c r="P169" i="2"/>
  <c r="E169" i="6" s="1"/>
  <c r="P170" i="2"/>
  <c r="E170" i="6" s="1"/>
  <c r="P171" i="2"/>
  <c r="E171" i="6" s="1"/>
  <c r="P172" i="2"/>
  <c r="E172" i="6" s="1"/>
  <c r="P173" i="2"/>
  <c r="E173" i="6" s="1"/>
  <c r="P174" i="2"/>
  <c r="E174" i="6" s="1"/>
  <c r="P175" i="2"/>
  <c r="E175" i="6" s="1"/>
  <c r="P176" i="2"/>
  <c r="E176" i="6" s="1"/>
  <c r="P177" i="2"/>
  <c r="E177" i="6" s="1"/>
  <c r="P178" i="2"/>
  <c r="E178" i="6" s="1"/>
  <c r="P179" i="2"/>
  <c r="E179" i="6" s="1"/>
  <c r="P180" i="2"/>
  <c r="E180" i="6" s="1"/>
  <c r="P181" i="2"/>
  <c r="E181" i="6" s="1"/>
  <c r="P182" i="2"/>
  <c r="E182" i="6" s="1"/>
  <c r="P183" i="2"/>
  <c r="E183" i="6" s="1"/>
  <c r="P184" i="2"/>
  <c r="E184" i="6" s="1"/>
  <c r="P185" i="2"/>
  <c r="E185" i="6" s="1"/>
  <c r="P186" i="2"/>
  <c r="E186" i="6" s="1"/>
  <c r="P187" i="2"/>
  <c r="E187" i="6" s="1"/>
  <c r="P188" i="2"/>
  <c r="E188" i="6" s="1"/>
  <c r="P189" i="2"/>
  <c r="E189" i="6" s="1"/>
  <c r="P190" i="2"/>
  <c r="E190" i="6" s="1"/>
  <c r="P191" i="2"/>
  <c r="E191" i="6" s="1"/>
  <c r="P192" i="2"/>
  <c r="E192" i="6" s="1"/>
  <c r="P193" i="2"/>
  <c r="E193" i="6" s="1"/>
  <c r="P194" i="2"/>
  <c r="E194" i="6" s="1"/>
  <c r="P195" i="2"/>
  <c r="E195" i="6" s="1"/>
  <c r="P196" i="2"/>
  <c r="E196" i="6" s="1"/>
  <c r="P197" i="2"/>
  <c r="E197" i="6" s="1"/>
  <c r="P198" i="2"/>
  <c r="E198" i="6" s="1"/>
  <c r="P199" i="2"/>
  <c r="E199" i="6" s="1"/>
  <c r="P200" i="2"/>
  <c r="E200" i="6" s="1"/>
  <c r="P201" i="2"/>
  <c r="E201" i="6" s="1"/>
  <c r="P202" i="2"/>
  <c r="E202" i="6" s="1"/>
  <c r="P203" i="2"/>
  <c r="E203" i="6" s="1"/>
  <c r="P204" i="2"/>
  <c r="E204" i="6" s="1"/>
  <c r="P205" i="2"/>
  <c r="E205" i="6" s="1"/>
  <c r="P206" i="2"/>
  <c r="E206" i="6" s="1"/>
  <c r="P207" i="2"/>
  <c r="E207" i="6" s="1"/>
  <c r="P208" i="2"/>
  <c r="E208" i="6" s="1"/>
  <c r="P209" i="2"/>
  <c r="E209" i="6" s="1"/>
  <c r="P210" i="2"/>
  <c r="E210" i="6" s="1"/>
  <c r="P211" i="2"/>
  <c r="E211" i="6" s="1"/>
  <c r="P212" i="2"/>
  <c r="E212" i="6" s="1"/>
  <c r="P213" i="2"/>
  <c r="E213" i="6" s="1"/>
  <c r="P214" i="2"/>
  <c r="E214" i="6" s="1"/>
  <c r="P215" i="2"/>
  <c r="E215" i="6" s="1"/>
  <c r="P216" i="2"/>
  <c r="E216" i="6" s="1"/>
  <c r="P217" i="2"/>
  <c r="E217" i="6" s="1"/>
  <c r="P218" i="2"/>
  <c r="E218" i="6" s="1"/>
  <c r="P219" i="2"/>
  <c r="E219" i="6" s="1"/>
  <c r="P220" i="2"/>
  <c r="E220" i="6" s="1"/>
  <c r="P221" i="2"/>
  <c r="E221" i="6" s="1"/>
  <c r="P222" i="2"/>
  <c r="E222" i="6" s="1"/>
  <c r="P223" i="2"/>
  <c r="E223" i="6" s="1"/>
  <c r="P224" i="2"/>
  <c r="E224" i="6" s="1"/>
  <c r="P225" i="2"/>
  <c r="E225" i="6" s="1"/>
  <c r="P226" i="2"/>
  <c r="E226" i="6" s="1"/>
  <c r="P227" i="2"/>
  <c r="E227" i="6" s="1"/>
  <c r="P228" i="2"/>
  <c r="E228" i="6" s="1"/>
  <c r="P229" i="2"/>
  <c r="E229" i="6" s="1"/>
  <c r="P230" i="2"/>
  <c r="E230" i="6" s="1"/>
  <c r="P231" i="2"/>
  <c r="E231" i="6" s="1"/>
  <c r="P232" i="2"/>
  <c r="E232" i="6" s="1"/>
  <c r="P233" i="2"/>
  <c r="E233" i="6" s="1"/>
  <c r="P234" i="2"/>
  <c r="E234" i="6" s="1"/>
  <c r="P235" i="2"/>
  <c r="E235" i="6" s="1"/>
  <c r="P236" i="2"/>
  <c r="E236" i="6" s="1"/>
  <c r="P237" i="2"/>
  <c r="E237" i="6" s="1"/>
  <c r="P238" i="2"/>
  <c r="E238" i="6" s="1"/>
  <c r="P239" i="2"/>
  <c r="E239" i="6" s="1"/>
  <c r="P240" i="2"/>
  <c r="E240" i="6" s="1"/>
  <c r="P241" i="2"/>
  <c r="E241" i="6" s="1"/>
  <c r="P242" i="2"/>
  <c r="E242" i="6" s="1"/>
  <c r="P243" i="2"/>
  <c r="E243" i="6" s="1"/>
  <c r="P244" i="2"/>
  <c r="E244" i="6" s="1"/>
  <c r="P245" i="2"/>
  <c r="E245" i="6" s="1"/>
  <c r="P246" i="2"/>
  <c r="E246" i="6" s="1"/>
  <c r="P247" i="2"/>
  <c r="E247" i="6" s="1"/>
  <c r="P248" i="2"/>
  <c r="E248" i="6" s="1"/>
  <c r="P249" i="2"/>
  <c r="E249" i="6" s="1"/>
  <c r="P250" i="2"/>
  <c r="E250" i="6" s="1"/>
  <c r="P251" i="2"/>
  <c r="E251" i="6" s="1"/>
  <c r="P252" i="2"/>
  <c r="E252" i="6" s="1"/>
  <c r="P253" i="2"/>
  <c r="E253" i="6" s="1"/>
  <c r="P254" i="2"/>
  <c r="E254" i="6" s="1"/>
  <c r="P255" i="2"/>
  <c r="E255" i="6" s="1"/>
  <c r="P256" i="2"/>
  <c r="E256" i="6" s="1"/>
  <c r="P257" i="2"/>
  <c r="E257" i="6" s="1"/>
  <c r="P258" i="2"/>
  <c r="E258" i="6" s="1"/>
  <c r="P259" i="2"/>
  <c r="E259" i="6" s="1"/>
  <c r="P260" i="2"/>
  <c r="E260" i="6" s="1"/>
  <c r="P261" i="2"/>
  <c r="E261" i="6" s="1"/>
  <c r="P262" i="2"/>
  <c r="E262" i="6" s="1"/>
  <c r="P263" i="2"/>
  <c r="E263" i="6" s="1"/>
  <c r="P264" i="2"/>
  <c r="E264" i="6" s="1"/>
  <c r="P265" i="2"/>
  <c r="E265" i="6" s="1"/>
  <c r="P266" i="2"/>
  <c r="E266" i="6" s="1"/>
  <c r="P267" i="2"/>
  <c r="E267" i="6" s="1"/>
  <c r="P268" i="2"/>
  <c r="E268" i="6" s="1"/>
  <c r="P269" i="2"/>
  <c r="E269" i="6" s="1"/>
  <c r="P270" i="2"/>
  <c r="E270" i="6" s="1"/>
  <c r="P271" i="2"/>
  <c r="E271" i="6" s="1"/>
  <c r="P272" i="2"/>
  <c r="E272" i="6" s="1"/>
  <c r="P273" i="2"/>
  <c r="E273" i="6" s="1"/>
  <c r="P274" i="2"/>
  <c r="E274" i="6" s="1"/>
  <c r="P275" i="2"/>
  <c r="E275" i="6" s="1"/>
  <c r="P276" i="2"/>
  <c r="E276" i="6" s="1"/>
  <c r="P277" i="2"/>
  <c r="E277" i="6" s="1"/>
  <c r="P278" i="2"/>
  <c r="E278" i="6" s="1"/>
  <c r="P279" i="2"/>
  <c r="E279" i="6" s="1"/>
  <c r="P280" i="2"/>
  <c r="E280" i="6" s="1"/>
  <c r="P281" i="2"/>
  <c r="E281" i="6" s="1"/>
  <c r="P282" i="2"/>
  <c r="E282" i="6" s="1"/>
  <c r="P283" i="2"/>
  <c r="E283" i="6" s="1"/>
  <c r="P284" i="2"/>
  <c r="E284" i="6" s="1"/>
  <c r="P285" i="2"/>
  <c r="E285" i="6" s="1"/>
  <c r="P286" i="2"/>
  <c r="E286" i="6" s="1"/>
  <c r="P287" i="2"/>
  <c r="E287" i="6" s="1"/>
  <c r="P288" i="2"/>
  <c r="E288" i="6" s="1"/>
  <c r="P289" i="2"/>
  <c r="E289" i="6" s="1"/>
  <c r="P290" i="2"/>
  <c r="E290" i="6" s="1"/>
  <c r="P291" i="2"/>
  <c r="E291" i="6" s="1"/>
  <c r="P292" i="2"/>
  <c r="E292" i="6" s="1"/>
  <c r="P293" i="2"/>
  <c r="E293" i="6" s="1"/>
  <c r="P294" i="2"/>
  <c r="E294" i="6" s="1"/>
  <c r="P295" i="2"/>
  <c r="E295" i="6" s="1"/>
  <c r="P296" i="2"/>
  <c r="E296" i="6" s="1"/>
  <c r="P297" i="2"/>
  <c r="E297" i="6" s="1"/>
  <c r="P298" i="2"/>
  <c r="E298" i="6" s="1"/>
  <c r="P299" i="2"/>
  <c r="E299" i="6" s="1"/>
  <c r="P300" i="2"/>
  <c r="E300" i="6" s="1"/>
  <c r="P301" i="2"/>
  <c r="E301" i="6" s="1"/>
  <c r="D2" i="6"/>
  <c r="D3" i="6"/>
  <c r="D4" i="6"/>
  <c r="D5" i="6"/>
  <c r="D6" i="6"/>
  <c r="D7" i="6"/>
  <c r="D10" i="6"/>
  <c r="D11" i="6"/>
  <c r="D12" i="6"/>
  <c r="D13" i="6"/>
  <c r="D14" i="6"/>
  <c r="D15" i="6"/>
  <c r="D18" i="6"/>
  <c r="D19" i="6"/>
  <c r="D20" i="6"/>
  <c r="D21" i="6"/>
  <c r="D22" i="6"/>
  <c r="D23" i="6"/>
  <c r="D26" i="6"/>
  <c r="D27" i="6"/>
  <c r="D28" i="6"/>
  <c r="D29" i="6"/>
  <c r="D30" i="6"/>
  <c r="D31" i="6"/>
  <c r="D32" i="6"/>
  <c r="D34" i="6"/>
  <c r="D35" i="6"/>
  <c r="D36" i="6"/>
  <c r="D37" i="6"/>
  <c r="D38" i="6"/>
  <c r="D39" i="6"/>
  <c r="D40" i="6"/>
  <c r="D42" i="6"/>
  <c r="D43" i="6"/>
  <c r="D44" i="6"/>
  <c r="D45" i="6"/>
  <c r="D46" i="6"/>
  <c r="D47" i="6"/>
  <c r="D50" i="6"/>
  <c r="D51" i="6"/>
  <c r="D52" i="6"/>
  <c r="D53" i="6"/>
  <c r="D54" i="6"/>
  <c r="D55" i="6"/>
  <c r="D58" i="6"/>
  <c r="D59" i="6"/>
  <c r="D60" i="6"/>
  <c r="D61" i="6"/>
  <c r="D62" i="6"/>
  <c r="D63" i="6"/>
  <c r="D66" i="6"/>
  <c r="D67" i="6"/>
  <c r="D68" i="6"/>
  <c r="D69" i="6"/>
  <c r="D70" i="6"/>
  <c r="D71" i="6"/>
  <c r="D74" i="6"/>
  <c r="D75" i="6"/>
  <c r="D76" i="6"/>
  <c r="D77" i="6"/>
  <c r="D78" i="6"/>
  <c r="D79" i="6"/>
  <c r="D82" i="6"/>
  <c r="D83" i="6"/>
  <c r="D84" i="6"/>
  <c r="D85" i="6"/>
  <c r="D86" i="6"/>
  <c r="D87" i="6"/>
  <c r="D90" i="6"/>
  <c r="D91" i="6"/>
  <c r="D92" i="6"/>
  <c r="D93" i="6"/>
  <c r="D94" i="6"/>
  <c r="D95" i="6"/>
  <c r="D96" i="6"/>
  <c r="D98" i="6"/>
  <c r="D99" i="6"/>
  <c r="D100" i="6"/>
  <c r="D101" i="6"/>
  <c r="D102" i="6"/>
  <c r="D103" i="6"/>
  <c r="D104" i="6"/>
  <c r="D106" i="6"/>
  <c r="D107" i="6"/>
  <c r="D108" i="6"/>
  <c r="D109" i="6"/>
  <c r="D110" i="6"/>
  <c r="D111" i="6"/>
  <c r="D114" i="6"/>
  <c r="D115" i="6"/>
  <c r="D116" i="6"/>
  <c r="D117" i="6"/>
  <c r="D118" i="6"/>
  <c r="D119" i="6"/>
  <c r="D122" i="6"/>
  <c r="D123" i="6"/>
  <c r="D124" i="6"/>
  <c r="D125" i="6"/>
  <c r="D126" i="6"/>
  <c r="D127" i="6"/>
  <c r="D130" i="6"/>
  <c r="D131" i="6"/>
  <c r="D132" i="6"/>
  <c r="D133" i="6"/>
  <c r="D134" i="6"/>
  <c r="D135" i="6"/>
  <c r="D138" i="6"/>
  <c r="D139" i="6"/>
  <c r="D140" i="6"/>
  <c r="D141" i="6"/>
  <c r="D142" i="6"/>
  <c r="D143" i="6"/>
  <c r="D146" i="6"/>
  <c r="D147" i="6"/>
  <c r="D148" i="6"/>
  <c r="D149" i="6"/>
  <c r="D150" i="6"/>
  <c r="D151" i="6"/>
  <c r="D154" i="6"/>
  <c r="D155" i="6"/>
  <c r="D156" i="6"/>
  <c r="D157" i="6"/>
  <c r="D158" i="6"/>
  <c r="D159" i="6"/>
  <c r="D160" i="6"/>
  <c r="D162" i="6"/>
  <c r="D163" i="6"/>
  <c r="D164" i="6"/>
  <c r="D165" i="6"/>
  <c r="D166" i="6"/>
  <c r="D167" i="6"/>
  <c r="D168" i="6"/>
  <c r="D170" i="6"/>
  <c r="D171" i="6"/>
  <c r="D172" i="6"/>
  <c r="D173" i="6"/>
  <c r="D174" i="6"/>
  <c r="D175" i="6"/>
  <c r="D178" i="6"/>
  <c r="D179" i="6"/>
  <c r="D180" i="6"/>
  <c r="D181" i="6"/>
  <c r="D182" i="6"/>
  <c r="D183" i="6"/>
  <c r="D186" i="6"/>
  <c r="D187" i="6"/>
  <c r="D188" i="6"/>
  <c r="D189" i="6"/>
  <c r="D190" i="6"/>
  <c r="D191" i="6"/>
  <c r="D194" i="6"/>
  <c r="D195" i="6"/>
  <c r="D196" i="6"/>
  <c r="D197" i="6"/>
  <c r="D198" i="6"/>
  <c r="D199" i="6"/>
  <c r="D202" i="6"/>
  <c r="D203" i="6"/>
  <c r="D204" i="6"/>
  <c r="D205" i="6"/>
  <c r="D206" i="6"/>
  <c r="D207" i="6"/>
  <c r="D210" i="6"/>
  <c r="D211" i="6"/>
  <c r="D212" i="6"/>
  <c r="D213" i="6"/>
  <c r="D214" i="6"/>
  <c r="D215" i="6"/>
  <c r="D218" i="6"/>
  <c r="D219" i="6"/>
  <c r="D220" i="6"/>
  <c r="D221" i="6"/>
  <c r="D222" i="6"/>
  <c r="D223" i="6"/>
  <c r="D224" i="6"/>
  <c r="D226" i="6"/>
  <c r="D227" i="6"/>
  <c r="D228" i="6"/>
  <c r="D229" i="6"/>
  <c r="D230" i="6"/>
  <c r="D231" i="6"/>
  <c r="D232" i="6"/>
  <c r="D234" i="6"/>
  <c r="D235" i="6"/>
  <c r="D236" i="6"/>
  <c r="D237" i="6"/>
  <c r="D238" i="6"/>
  <c r="D239" i="6"/>
  <c r="D242" i="6"/>
  <c r="D243" i="6"/>
  <c r="D244" i="6"/>
  <c r="D245" i="6"/>
  <c r="D246" i="6"/>
  <c r="D247" i="6"/>
  <c r="D250" i="6"/>
  <c r="D251" i="6"/>
  <c r="D252" i="6"/>
  <c r="D253" i="6"/>
  <c r="D254" i="6"/>
  <c r="D255" i="6"/>
  <c r="D258" i="6"/>
  <c r="D259" i="6"/>
  <c r="D260" i="6"/>
  <c r="D261" i="6"/>
  <c r="D262" i="6"/>
  <c r="D263" i="6"/>
  <c r="D266" i="6"/>
  <c r="D267" i="6"/>
  <c r="D268" i="6"/>
  <c r="D269" i="6"/>
  <c r="D270" i="6"/>
  <c r="D271" i="6"/>
  <c r="D274" i="6"/>
  <c r="D275" i="6"/>
  <c r="D276" i="6"/>
  <c r="D277" i="6"/>
  <c r="D278" i="6"/>
  <c r="D279" i="6"/>
  <c r="D282" i="6"/>
  <c r="D283" i="6"/>
  <c r="D284" i="6"/>
  <c r="D285" i="6"/>
  <c r="D286" i="6"/>
  <c r="D287" i="6"/>
  <c r="D288" i="6"/>
  <c r="D290" i="6"/>
  <c r="D291" i="6"/>
  <c r="D292" i="6"/>
  <c r="D293" i="6"/>
  <c r="D294" i="6"/>
  <c r="D295" i="6"/>
  <c r="D296" i="6"/>
  <c r="D298" i="6"/>
  <c r="D299" i="6"/>
  <c r="D300" i="6"/>
  <c r="D301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D31" i="3"/>
  <c r="D30" i="3"/>
  <c r="D29" i="3"/>
  <c r="D28" i="3"/>
  <c r="D26" i="3"/>
  <c r="D25" i="3"/>
  <c r="D24" i="3"/>
  <c r="D23" i="3"/>
  <c r="D22" i="3"/>
  <c r="D21" i="3"/>
  <c r="D19" i="3"/>
  <c r="D17" i="3"/>
  <c r="D14" i="3"/>
  <c r="D13" i="3"/>
  <c r="D12" i="3"/>
  <c r="D8" i="3"/>
  <c r="D7" i="3"/>
  <c r="D5" i="3"/>
  <c r="D4" i="3"/>
  <c r="D3" i="3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D240" i="6" l="1"/>
  <c r="D176" i="6"/>
  <c r="D112" i="6"/>
  <c r="D48" i="6"/>
  <c r="D248" i="6"/>
  <c r="D184" i="6"/>
  <c r="D120" i="6"/>
  <c r="D56" i="6"/>
  <c r="D256" i="6"/>
  <c r="D192" i="6"/>
  <c r="D128" i="6"/>
  <c r="D64" i="6"/>
  <c r="D264" i="6"/>
  <c r="D200" i="6"/>
  <c r="D136" i="6"/>
  <c r="D72" i="6"/>
  <c r="D8" i="6"/>
  <c r="D272" i="6"/>
  <c r="D208" i="6"/>
  <c r="D144" i="6"/>
  <c r="D80" i="6"/>
  <c r="D16" i="6"/>
  <c r="D280" i="6"/>
  <c r="D216" i="6"/>
  <c r="D152" i="6"/>
  <c r="D88" i="6"/>
  <c r="D24" i="6"/>
  <c r="D297" i="6"/>
  <c r="D289" i="6"/>
  <c r="D281" i="6"/>
  <c r="D273" i="6"/>
  <c r="D265" i="6"/>
  <c r="D257" i="6"/>
  <c r="D249" i="6"/>
  <c r="D241" i="6"/>
  <c r="D233" i="6"/>
  <c r="D225" i="6"/>
  <c r="D217" i="6"/>
  <c r="D209" i="6"/>
  <c r="D201" i="6"/>
  <c r="D193" i="6"/>
  <c r="D185" i="6"/>
  <c r="D177" i="6"/>
  <c r="D169" i="6"/>
  <c r="D161" i="6"/>
  <c r="D153" i="6"/>
  <c r="D145" i="6"/>
  <c r="D137" i="6"/>
  <c r="D129" i="6"/>
  <c r="D121" i="6"/>
  <c r="D113" i="6"/>
  <c r="D105" i="6"/>
  <c r="D97" i="6"/>
  <c r="D89" i="6"/>
  <c r="D81" i="6"/>
  <c r="D73" i="6"/>
  <c r="D65" i="6"/>
  <c r="D57" i="6"/>
  <c r="D49" i="6"/>
  <c r="D41" i="6"/>
  <c r="D33" i="6"/>
  <c r="D25" i="6"/>
  <c r="D17" i="6"/>
  <c r="D9" i="6"/>
</calcChain>
</file>

<file path=xl/sharedStrings.xml><?xml version="1.0" encoding="utf-8"?>
<sst xmlns="http://schemas.openxmlformats.org/spreadsheetml/2006/main" count="5634" uniqueCount="2566">
  <si>
    <t>Employee ID</t>
  </si>
  <si>
    <t>First Name</t>
  </si>
  <si>
    <t>Last Name</t>
  </si>
  <si>
    <t>Company Email ID</t>
  </si>
  <si>
    <t>Date of Joining</t>
  </si>
  <si>
    <t>Total Experience</t>
  </si>
  <si>
    <t>Previous Company</t>
  </si>
  <si>
    <t>Education Qualification</t>
  </si>
  <si>
    <t>Position</t>
  </si>
  <si>
    <t>Irwinn</t>
  </si>
  <si>
    <t>Elfe</t>
  </si>
  <si>
    <t>Schmeler Group</t>
  </si>
  <si>
    <t>Student</t>
  </si>
  <si>
    <t>OffRole/Partime</t>
  </si>
  <si>
    <t>Sibyl</t>
  </si>
  <si>
    <t>Orvis</t>
  </si>
  <si>
    <t>McGlynn-Ebert</t>
  </si>
  <si>
    <t>NA</t>
  </si>
  <si>
    <t>Paule</t>
  </si>
  <si>
    <t>Fernandes</t>
  </si>
  <si>
    <t>Zboncak and Sons</t>
  </si>
  <si>
    <t>Graduation/Bachelors</t>
  </si>
  <si>
    <t>Senior Manager</t>
  </si>
  <si>
    <t>Paul</t>
  </si>
  <si>
    <t>Testo</t>
  </si>
  <si>
    <t>Williamson, Schultz and Stokes</t>
  </si>
  <si>
    <t>Maude</t>
  </si>
  <si>
    <t>Bollins</t>
  </si>
  <si>
    <t>Cremin-Bins</t>
  </si>
  <si>
    <t>Georgeanna</t>
  </si>
  <si>
    <t>Dowsing</t>
  </si>
  <si>
    <t>Paucek-Tillman</t>
  </si>
  <si>
    <t>Shelley</t>
  </si>
  <si>
    <t>Linzee</t>
  </si>
  <si>
    <t>Lakin-Schiller</t>
  </si>
  <si>
    <t>Assistant Manager</t>
  </si>
  <si>
    <t>Stevena</t>
  </si>
  <si>
    <t>Hartfield</t>
  </si>
  <si>
    <t>Veum and Sons</t>
  </si>
  <si>
    <t>Jobie</t>
  </si>
  <si>
    <t>Craggs</t>
  </si>
  <si>
    <t>Reynolds, Bins and Schumm</t>
  </si>
  <si>
    <t>Executives</t>
  </si>
  <si>
    <t>Ellen</t>
  </si>
  <si>
    <t>Pirrone</t>
  </si>
  <si>
    <t>Schuster-King</t>
  </si>
  <si>
    <t>Senior Executives</t>
  </si>
  <si>
    <t>Karrah</t>
  </si>
  <si>
    <t>Steptowe</t>
  </si>
  <si>
    <t>Kiehn-Skiles</t>
  </si>
  <si>
    <t>Post Graduation/Masters</t>
  </si>
  <si>
    <t>Senior VP</t>
  </si>
  <si>
    <t>Griselda</t>
  </si>
  <si>
    <t>Girardini</t>
  </si>
  <si>
    <t>Jacobs, VonRueden and Macejkovic</t>
  </si>
  <si>
    <t>Undergrad</t>
  </si>
  <si>
    <t>Andrea</t>
  </si>
  <si>
    <t>Milesap</t>
  </si>
  <si>
    <t>Hamill-Abernathy</t>
  </si>
  <si>
    <t>Babara</t>
  </si>
  <si>
    <t>Morrall</t>
  </si>
  <si>
    <t>Kovacek, Smith and Senger</t>
  </si>
  <si>
    <t>PHD</t>
  </si>
  <si>
    <t>VP</t>
  </si>
  <si>
    <t>Miran</t>
  </si>
  <si>
    <t>Vasovic</t>
  </si>
  <si>
    <t>Boehm, Cassin and McDermott</t>
  </si>
  <si>
    <t>Sharity</t>
  </si>
  <si>
    <t>Fyldes</t>
  </si>
  <si>
    <t>Schneider-Rath</t>
  </si>
  <si>
    <t>Kienan</t>
  </si>
  <si>
    <t>Reary</t>
  </si>
  <si>
    <t>Braun LLC</t>
  </si>
  <si>
    <t>Normy</t>
  </si>
  <si>
    <t>Scola</t>
  </si>
  <si>
    <t>Schinner Group</t>
  </si>
  <si>
    <t>Darline</t>
  </si>
  <si>
    <t>Conibear</t>
  </si>
  <si>
    <t>Flatley-Little</t>
  </si>
  <si>
    <t>Doloritas</t>
  </si>
  <si>
    <t>Hambleton</t>
  </si>
  <si>
    <t>Balistreri-Abernathy</t>
  </si>
  <si>
    <t>Martynne</t>
  </si>
  <si>
    <t>De Filippis</t>
  </si>
  <si>
    <t>Predovic, Hermann and Ebert</t>
  </si>
  <si>
    <t>Manager</t>
  </si>
  <si>
    <t>Devlen</t>
  </si>
  <si>
    <t>Bentall</t>
  </si>
  <si>
    <t>Franecki and Sons</t>
  </si>
  <si>
    <t>Sigismundo</t>
  </si>
  <si>
    <t>Dunnett</t>
  </si>
  <si>
    <t>Nolan Group</t>
  </si>
  <si>
    <t>Tymon</t>
  </si>
  <si>
    <t>Lamonby</t>
  </si>
  <si>
    <t>Green-Kozey</t>
  </si>
  <si>
    <t>Clevey</t>
  </si>
  <si>
    <t>Reville</t>
  </si>
  <si>
    <t>Crist, McCullough and Zulauf</t>
  </si>
  <si>
    <t>Julio</t>
  </si>
  <si>
    <t>Colyer</t>
  </si>
  <si>
    <t>Berge-Hirthe</t>
  </si>
  <si>
    <t>Lorelle</t>
  </si>
  <si>
    <t>Wight</t>
  </si>
  <si>
    <t>Weissnat Group</t>
  </si>
  <si>
    <t>Prince</t>
  </si>
  <si>
    <t>Norvell</t>
  </si>
  <si>
    <t>Schneider-Kulas</t>
  </si>
  <si>
    <t>Timi</t>
  </si>
  <si>
    <t>Van de Vlies</t>
  </si>
  <si>
    <t>O'Connell-Howell</t>
  </si>
  <si>
    <t>Doe</t>
  </si>
  <si>
    <t>Heffernon</t>
  </si>
  <si>
    <t>Runte Inc</t>
  </si>
  <si>
    <t>Intern</t>
  </si>
  <si>
    <t>Marci</t>
  </si>
  <si>
    <t>Pilgram</t>
  </si>
  <si>
    <t>Wilderman, Fay and Miller</t>
  </si>
  <si>
    <t>Nealy</t>
  </si>
  <si>
    <t>Gasnoll</t>
  </si>
  <si>
    <t>Sanford-Glover</t>
  </si>
  <si>
    <t>Delainey</t>
  </si>
  <si>
    <t>Meir</t>
  </si>
  <si>
    <t>Hudson-Macejkovic</t>
  </si>
  <si>
    <t>Elvera</t>
  </si>
  <si>
    <t>Adolfsen</t>
  </si>
  <si>
    <t>Mueller, Abshire and Schiller</t>
  </si>
  <si>
    <t>Trstram</t>
  </si>
  <si>
    <t>Paniman</t>
  </si>
  <si>
    <t>Tremblay, Kohler and Zboncak</t>
  </si>
  <si>
    <t>Assistant VP</t>
  </si>
  <si>
    <t>Annice</t>
  </si>
  <si>
    <t>Eykelbosch</t>
  </si>
  <si>
    <t>Grimes, Stanton and Hayes</t>
  </si>
  <si>
    <t>Ninnette</t>
  </si>
  <si>
    <t>Stansall</t>
  </si>
  <si>
    <t>Stark Group</t>
  </si>
  <si>
    <t>Bartholomeo</t>
  </si>
  <si>
    <t>Bottomore</t>
  </si>
  <si>
    <t>Murphy-Bednar</t>
  </si>
  <si>
    <t>Sawyere</t>
  </si>
  <si>
    <t>Ebertz</t>
  </si>
  <si>
    <t>Ruecker Group</t>
  </si>
  <si>
    <t>Alberik</t>
  </si>
  <si>
    <t>Denton</t>
  </si>
  <si>
    <t>Wunsch-Wuckert</t>
  </si>
  <si>
    <t>Nesta</t>
  </si>
  <si>
    <t>Beccles</t>
  </si>
  <si>
    <t>McKenzie-Becker</t>
  </si>
  <si>
    <t>Libbi</t>
  </si>
  <si>
    <t>O'Farris</t>
  </si>
  <si>
    <t>Skiles-Greenfelder</t>
  </si>
  <si>
    <t>Shay</t>
  </si>
  <si>
    <t>Valti</t>
  </si>
  <si>
    <t>Hirthe and Sons</t>
  </si>
  <si>
    <t>Clari</t>
  </si>
  <si>
    <t>Milkins</t>
  </si>
  <si>
    <t>Runolfsson Inc</t>
  </si>
  <si>
    <t>Deni</t>
  </si>
  <si>
    <t>Perrinchief</t>
  </si>
  <si>
    <t>McCullough-Murphy</t>
  </si>
  <si>
    <t>Celisse</t>
  </si>
  <si>
    <t>Suthworth</t>
  </si>
  <si>
    <t>Kerluke, Koelpin and Wintheiser</t>
  </si>
  <si>
    <t>Derrik</t>
  </si>
  <si>
    <t>Gaber</t>
  </si>
  <si>
    <t>Strosin LLC</t>
  </si>
  <si>
    <t>Rayna</t>
  </si>
  <si>
    <t>Drioli</t>
  </si>
  <si>
    <t>Macejkovic-Kling</t>
  </si>
  <si>
    <t>Celestyna</t>
  </si>
  <si>
    <t>Penvarne</t>
  </si>
  <si>
    <t>Spinka, Trantow and Mante</t>
  </si>
  <si>
    <t>Gaven</t>
  </si>
  <si>
    <t>Sindle</t>
  </si>
  <si>
    <t>Miller-Legros</t>
  </si>
  <si>
    <t>Mirabel</t>
  </si>
  <si>
    <t>Storrie</t>
  </si>
  <si>
    <t>Pacocha-Marks</t>
  </si>
  <si>
    <t>Blair</t>
  </si>
  <si>
    <t>Duiguid</t>
  </si>
  <si>
    <t>Crooks Group</t>
  </si>
  <si>
    <t>Skyler</t>
  </si>
  <si>
    <t>Sanger</t>
  </si>
  <si>
    <t>Treutel Group</t>
  </si>
  <si>
    <t>Michal</t>
  </si>
  <si>
    <t>Bradtke</t>
  </si>
  <si>
    <t>Kreiger, Aufderhar and Bartell</t>
  </si>
  <si>
    <t>Karil</t>
  </si>
  <si>
    <t>Nassi</t>
  </si>
  <si>
    <t>Kihn-Kautzer</t>
  </si>
  <si>
    <t>Gratia</t>
  </si>
  <si>
    <t>Hackford</t>
  </si>
  <si>
    <t>Treutel-Sawayn</t>
  </si>
  <si>
    <t>Dwain</t>
  </si>
  <si>
    <t>Pentecust</t>
  </si>
  <si>
    <t>Hilpert, Balistreri and Upton</t>
  </si>
  <si>
    <t>Seumas</t>
  </si>
  <si>
    <t>Ianizzi</t>
  </si>
  <si>
    <t>Wuckert, Weissnat and Hagenes</t>
  </si>
  <si>
    <t>Wiatt</t>
  </si>
  <si>
    <t>Ridolfo</t>
  </si>
  <si>
    <t>Wiza-Harris</t>
  </si>
  <si>
    <t>Clovis</t>
  </si>
  <si>
    <t>Brewins</t>
  </si>
  <si>
    <t>Gutkowski-Johnson</t>
  </si>
  <si>
    <t>Doroteya</t>
  </si>
  <si>
    <t>Pinches</t>
  </si>
  <si>
    <t>Hilll LLC</t>
  </si>
  <si>
    <t>Cecilius</t>
  </si>
  <si>
    <t>Gowrie</t>
  </si>
  <si>
    <t>Hilll Inc</t>
  </si>
  <si>
    <t>Rafferty</t>
  </si>
  <si>
    <t>Jentle</t>
  </si>
  <si>
    <t>Rohan-Franecki</t>
  </si>
  <si>
    <t>Lion</t>
  </si>
  <si>
    <t>Cason</t>
  </si>
  <si>
    <t>Effertz-Hauck</t>
  </si>
  <si>
    <t>Clayborne</t>
  </si>
  <si>
    <t>Quig</t>
  </si>
  <si>
    <t>Frami-Gulgowski</t>
  </si>
  <si>
    <t>Blane</t>
  </si>
  <si>
    <t>Aldrin</t>
  </si>
  <si>
    <t>Greenholt and Sons</t>
  </si>
  <si>
    <t>Kelby</t>
  </si>
  <si>
    <t>Tubb</t>
  </si>
  <si>
    <t>D'Amore-Feil</t>
  </si>
  <si>
    <t>Kristopher</t>
  </si>
  <si>
    <t>Douse</t>
  </si>
  <si>
    <t>Tillman-Zemlak</t>
  </si>
  <si>
    <t>Darrick</t>
  </si>
  <si>
    <t>Hinz</t>
  </si>
  <si>
    <t>Roberts Inc</t>
  </si>
  <si>
    <t>Dallas</t>
  </si>
  <si>
    <t>Morad</t>
  </si>
  <si>
    <t>Gerhold LLC</t>
  </si>
  <si>
    <t>Hilton</t>
  </si>
  <si>
    <t>Parsons</t>
  </si>
  <si>
    <t>Walsh Inc</t>
  </si>
  <si>
    <t>Carla</t>
  </si>
  <si>
    <t>Leatherbarrow</t>
  </si>
  <si>
    <t>Hettinger Inc</t>
  </si>
  <si>
    <t>Katharyn</t>
  </si>
  <si>
    <t>Blythe</t>
  </si>
  <si>
    <t>Balistreri LLC</t>
  </si>
  <si>
    <t>Mira</t>
  </si>
  <si>
    <t>Bontine</t>
  </si>
  <si>
    <t>Goodwin LLC</t>
  </si>
  <si>
    <t>Iolande</t>
  </si>
  <si>
    <t>Levane</t>
  </si>
  <si>
    <t>Runolfsdottir, Jakubowski and Steuber</t>
  </si>
  <si>
    <t>Melinda</t>
  </si>
  <si>
    <t>Kleen</t>
  </si>
  <si>
    <t>O'Connell LLC</t>
  </si>
  <si>
    <t>Evered</t>
  </si>
  <si>
    <t>Pury</t>
  </si>
  <si>
    <t>Lemke-Lebsack</t>
  </si>
  <si>
    <t>Betta</t>
  </si>
  <si>
    <t>Entreis</t>
  </si>
  <si>
    <t>Von Group</t>
  </si>
  <si>
    <t>Lisha</t>
  </si>
  <si>
    <t>Lovett</t>
  </si>
  <si>
    <t>Aufderhar, Sanford and Schmeler</t>
  </si>
  <si>
    <t>Ninon</t>
  </si>
  <si>
    <t>Medendorp</t>
  </si>
  <si>
    <t>Collier and Sons</t>
  </si>
  <si>
    <t>Ezekiel</t>
  </si>
  <si>
    <t>Youd</t>
  </si>
  <si>
    <t>Heathcote-Langosh</t>
  </si>
  <si>
    <t>Napoleon</t>
  </si>
  <si>
    <t>Giovanitti</t>
  </si>
  <si>
    <t>Haag, Balistreri and Davis</t>
  </si>
  <si>
    <t>Jasmine</t>
  </si>
  <si>
    <t>Vlasyuk</t>
  </si>
  <si>
    <t>Greenfelder LLC</t>
  </si>
  <si>
    <t>Myer</t>
  </si>
  <si>
    <t>Harriot</t>
  </si>
  <si>
    <t>Okuneva, Sipes and Nitzsche</t>
  </si>
  <si>
    <t>Candace</t>
  </si>
  <si>
    <t>Antonchik</t>
  </si>
  <si>
    <t>Zieme, Windler and Baumbach</t>
  </si>
  <si>
    <t>Rickie</t>
  </si>
  <si>
    <t>O'Codihie</t>
  </si>
  <si>
    <t>Lesch Group</t>
  </si>
  <si>
    <t>Krystle</t>
  </si>
  <si>
    <t>Warne</t>
  </si>
  <si>
    <t>Jacobi-Ward</t>
  </si>
  <si>
    <t>Hilde</t>
  </si>
  <si>
    <t>Glyssanne</t>
  </si>
  <si>
    <t>Collins, Purdy and Mertz</t>
  </si>
  <si>
    <t>Antonie</t>
  </si>
  <si>
    <t>Mokes</t>
  </si>
  <si>
    <t>Bartoletti, Jaskolski and Bins</t>
  </si>
  <si>
    <t>Llewellyn</t>
  </si>
  <si>
    <t>Edgerly</t>
  </si>
  <si>
    <t>Smitham-Ankunding</t>
  </si>
  <si>
    <t>Gilbertina</t>
  </si>
  <si>
    <t>Cashford</t>
  </si>
  <si>
    <t>Kemmer-Rice</t>
  </si>
  <si>
    <t>Cordell</t>
  </si>
  <si>
    <t>Salvador</t>
  </si>
  <si>
    <t>Will, Watsica and Zulauf</t>
  </si>
  <si>
    <t>Isabel</t>
  </si>
  <si>
    <t>Breache</t>
  </si>
  <si>
    <t>Hilll-Bernier</t>
  </si>
  <si>
    <t>Steffane</t>
  </si>
  <si>
    <t>Kewish</t>
  </si>
  <si>
    <t>Larkin-Simonis</t>
  </si>
  <si>
    <t>Nick</t>
  </si>
  <si>
    <t>Goodby</t>
  </si>
  <si>
    <t>Jenkins-Gerlach</t>
  </si>
  <si>
    <t>Zondra</t>
  </si>
  <si>
    <t>Fensome</t>
  </si>
  <si>
    <t>Breitenberg Group</t>
  </si>
  <si>
    <t>Conrad</t>
  </si>
  <si>
    <t>Batteson</t>
  </si>
  <si>
    <t>Heller-Stoltenberg</t>
  </si>
  <si>
    <t>Ashton</t>
  </si>
  <si>
    <t>Loker</t>
  </si>
  <si>
    <t>Eichmann, Willms and Jast</t>
  </si>
  <si>
    <t>Sallyanne</t>
  </si>
  <si>
    <t>Twiggins</t>
  </si>
  <si>
    <t>Lehner, Kshlerin and Runolfsson</t>
  </si>
  <si>
    <t>Bernadene</t>
  </si>
  <si>
    <t>Barker</t>
  </si>
  <si>
    <t>Morissette, Kilback and Reilly</t>
  </si>
  <si>
    <t>Hurley</t>
  </si>
  <si>
    <t>Barensen</t>
  </si>
  <si>
    <t>Wilkinson-Bartoletti</t>
  </si>
  <si>
    <t>Cassandry</t>
  </si>
  <si>
    <t>Enrigo</t>
  </si>
  <si>
    <t>Parker LLC</t>
  </si>
  <si>
    <t>Alessandra</t>
  </si>
  <si>
    <t>Pacey</t>
  </si>
  <si>
    <t>Swaniawski, Brown and Heaney</t>
  </si>
  <si>
    <t>Elsy</t>
  </si>
  <si>
    <t>Gallo</t>
  </si>
  <si>
    <t>Dibbert-Abshire</t>
  </si>
  <si>
    <t>Hewett</t>
  </si>
  <si>
    <t>O'Doran</t>
  </si>
  <si>
    <t>Gibson, Vandervort and Moore</t>
  </si>
  <si>
    <t>Niko</t>
  </si>
  <si>
    <t>Derbyshire</t>
  </si>
  <si>
    <t>Osinski and Sons</t>
  </si>
  <si>
    <t>Deeanne</t>
  </si>
  <si>
    <t>De Gregoli</t>
  </si>
  <si>
    <t>Reilly, Graham and Kassulke</t>
  </si>
  <si>
    <t>Sydney</t>
  </si>
  <si>
    <t>Woodison</t>
  </si>
  <si>
    <t>Labadie, Metz and Zboncak</t>
  </si>
  <si>
    <t>Mauricio</t>
  </si>
  <si>
    <t>Coon</t>
  </si>
  <si>
    <t>Kassulke Inc</t>
  </si>
  <si>
    <t>Giraud</t>
  </si>
  <si>
    <t>Tabour</t>
  </si>
  <si>
    <t>Morar, Feeney and Raynor</t>
  </si>
  <si>
    <t>Lin</t>
  </si>
  <si>
    <t>Chittie</t>
  </si>
  <si>
    <t>Torp, Kertzmann and Romaguera</t>
  </si>
  <si>
    <t>Jecho</t>
  </si>
  <si>
    <t>Willment</t>
  </si>
  <si>
    <t>Cruickshank LLC</t>
  </si>
  <si>
    <t>Lauritz</t>
  </si>
  <si>
    <t>Domican</t>
  </si>
  <si>
    <t>Gutmann Group</t>
  </si>
  <si>
    <t>Hillary</t>
  </si>
  <si>
    <t>Paddock</t>
  </si>
  <si>
    <t>Cassin Inc</t>
  </si>
  <si>
    <t>Bentley</t>
  </si>
  <si>
    <t>Lidgerton</t>
  </si>
  <si>
    <t>Donnelly-Gerlach</t>
  </si>
  <si>
    <t>Jeromy</t>
  </si>
  <si>
    <t>Scattergood</t>
  </si>
  <si>
    <t>Goldner, Abbott and Sporer</t>
  </si>
  <si>
    <t>Alaster</t>
  </si>
  <si>
    <t>Pieche</t>
  </si>
  <si>
    <t>Marvin, Koch and Champlin</t>
  </si>
  <si>
    <t>Seka</t>
  </si>
  <si>
    <t>Braemer</t>
  </si>
  <si>
    <t>Wehner Inc</t>
  </si>
  <si>
    <t>Minnie</t>
  </si>
  <si>
    <t>Blaxlande</t>
  </si>
  <si>
    <t>Bartell Group</t>
  </si>
  <si>
    <t>Maurie</t>
  </si>
  <si>
    <t>Seignior</t>
  </si>
  <si>
    <t>Walker Inc</t>
  </si>
  <si>
    <t>Meredith</t>
  </si>
  <si>
    <t>Sember</t>
  </si>
  <si>
    <t>Nienow LLC</t>
  </si>
  <si>
    <t>Pet</t>
  </si>
  <si>
    <t>Sisnett</t>
  </si>
  <si>
    <t>Donnelly, Auer and Thiel</t>
  </si>
  <si>
    <t>Lorrie</t>
  </si>
  <si>
    <t>Belchem</t>
  </si>
  <si>
    <t>Price, Oberbrunner and Dickinson</t>
  </si>
  <si>
    <t>Nolly</t>
  </si>
  <si>
    <t>Hardington</t>
  </si>
  <si>
    <t>Hills-Bergnaum</t>
  </si>
  <si>
    <t>Claresta</t>
  </si>
  <si>
    <t>O'Heyne</t>
  </si>
  <si>
    <t>Zieme LLC</t>
  </si>
  <si>
    <t>Lorne</t>
  </si>
  <si>
    <t>MacFadin</t>
  </si>
  <si>
    <t>Funk Group</t>
  </si>
  <si>
    <t>Mozelle</t>
  </si>
  <si>
    <t>Balcombe</t>
  </si>
  <si>
    <t>Dach-Nienow</t>
  </si>
  <si>
    <t>Horatia</t>
  </si>
  <si>
    <t>Sandifer</t>
  </si>
  <si>
    <t>Nader, Kiehn and Hartmann</t>
  </si>
  <si>
    <t>Adolpho</t>
  </si>
  <si>
    <t>Roseveare</t>
  </si>
  <si>
    <t>Ortiz Inc</t>
  </si>
  <si>
    <t>Hussein</t>
  </si>
  <si>
    <t>Castro</t>
  </si>
  <si>
    <t>Hackett-Botsford</t>
  </si>
  <si>
    <t>Goodlatt</t>
  </si>
  <si>
    <t>Mraz-Kessler</t>
  </si>
  <si>
    <t>Norine</t>
  </si>
  <si>
    <t>Abazi</t>
  </si>
  <si>
    <t>Ritchie-West</t>
  </si>
  <si>
    <t>Nyssa</t>
  </si>
  <si>
    <t>Dutnell</t>
  </si>
  <si>
    <t>Auer, Bednar and Flatley</t>
  </si>
  <si>
    <t>Peterus</t>
  </si>
  <si>
    <t>Starbucke</t>
  </si>
  <si>
    <t>Marks, Barton and Rath</t>
  </si>
  <si>
    <t>Martyn</t>
  </si>
  <si>
    <t>Rehorek</t>
  </si>
  <si>
    <t>Abshire LLC</t>
  </si>
  <si>
    <t>Emanuel</t>
  </si>
  <si>
    <t>Franey</t>
  </si>
  <si>
    <t>Toy-White</t>
  </si>
  <si>
    <t>Guntar</t>
  </si>
  <si>
    <t>Bolsover</t>
  </si>
  <si>
    <t>Harvey, Botsford and Will</t>
  </si>
  <si>
    <t>Garnette</t>
  </si>
  <si>
    <t>Kares</t>
  </si>
  <si>
    <t>Lang-Haag</t>
  </si>
  <si>
    <t>Coral</t>
  </si>
  <si>
    <t>Lavigne</t>
  </si>
  <si>
    <t>Huels-Hills</t>
  </si>
  <si>
    <t>Emmanuel</t>
  </si>
  <si>
    <t>Esselen</t>
  </si>
  <si>
    <t>Homenick, Steuber and Erdman</t>
  </si>
  <si>
    <t>Enrico</t>
  </si>
  <si>
    <t>Ottam</t>
  </si>
  <si>
    <t>Bernier Group</t>
  </si>
  <si>
    <t>Consolata</t>
  </si>
  <si>
    <t>Goucher</t>
  </si>
  <si>
    <t>Halvorson, Littel and Vandervort</t>
  </si>
  <si>
    <t>Roley</t>
  </si>
  <si>
    <t>Grinham</t>
  </si>
  <si>
    <t>Brakus, Bednar and Schulist</t>
  </si>
  <si>
    <t>Berti</t>
  </si>
  <si>
    <t>Rheam</t>
  </si>
  <si>
    <t>Sauer, Kunze and Reynolds</t>
  </si>
  <si>
    <t>David</t>
  </si>
  <si>
    <t>Whereat</t>
  </si>
  <si>
    <t>Upton, Morissette and Medhurst</t>
  </si>
  <si>
    <t>Binky</t>
  </si>
  <si>
    <t>Capner</t>
  </si>
  <si>
    <t>Gleichner Inc</t>
  </si>
  <si>
    <t>Monroe</t>
  </si>
  <si>
    <t>Giovani</t>
  </si>
  <si>
    <t>Upton, Schiller and Legros</t>
  </si>
  <si>
    <t>Christiano</t>
  </si>
  <si>
    <t>Nursey</t>
  </si>
  <si>
    <t>Zemlak LLC</t>
  </si>
  <si>
    <t>Letitia</t>
  </si>
  <si>
    <t>Bessom</t>
  </si>
  <si>
    <t>Greenholt Group</t>
  </si>
  <si>
    <t>Garnet</t>
  </si>
  <si>
    <t>Edeson</t>
  </si>
  <si>
    <t>Wiegand, Erdman and Koepp</t>
  </si>
  <si>
    <t>Brandon</t>
  </si>
  <si>
    <t>O'Roan</t>
  </si>
  <si>
    <t>Labadie, Ward and Fisher</t>
  </si>
  <si>
    <t>Virge</t>
  </si>
  <si>
    <t>Tomet</t>
  </si>
  <si>
    <t>Rutherford Inc</t>
  </si>
  <si>
    <t>Red</t>
  </si>
  <si>
    <t>Cottrell</t>
  </si>
  <si>
    <t>Randene</t>
  </si>
  <si>
    <t>Meachen</t>
  </si>
  <si>
    <t>Hills-Jerde</t>
  </si>
  <si>
    <t>Mariette</t>
  </si>
  <si>
    <t>Mossom</t>
  </si>
  <si>
    <t>Mayert, Witting and Frami</t>
  </si>
  <si>
    <t>Neal</t>
  </si>
  <si>
    <t>Ford</t>
  </si>
  <si>
    <t>Watsica-Dickens</t>
  </si>
  <si>
    <t>Selinda</t>
  </si>
  <si>
    <t>Rosenfield</t>
  </si>
  <si>
    <t>Wolf, Bernhard and Hintz</t>
  </si>
  <si>
    <t>Brina</t>
  </si>
  <si>
    <t>Huggett</t>
  </si>
  <si>
    <t>Kessler-Lynch</t>
  </si>
  <si>
    <t>Denyse</t>
  </si>
  <si>
    <t>Ortmann</t>
  </si>
  <si>
    <t>Simonis-Prosacco</t>
  </si>
  <si>
    <t>Dylan</t>
  </si>
  <si>
    <t>Arro</t>
  </si>
  <si>
    <t>Bayer-Bradtke</t>
  </si>
  <si>
    <t>Vite</t>
  </si>
  <si>
    <t>Thys</t>
  </si>
  <si>
    <t>Murazik and Sons</t>
  </si>
  <si>
    <t>Noell</t>
  </si>
  <si>
    <t>Leverett</t>
  </si>
  <si>
    <t>Grady and Sons</t>
  </si>
  <si>
    <t>Debora</t>
  </si>
  <si>
    <t>Ham</t>
  </si>
  <si>
    <t>Rowe Inc</t>
  </si>
  <si>
    <t>Obadias</t>
  </si>
  <si>
    <t>Kennewell</t>
  </si>
  <si>
    <t>Ankunding-Wilkinson</t>
  </si>
  <si>
    <t>Zarah</t>
  </si>
  <si>
    <t>Dyett</t>
  </si>
  <si>
    <t>Leannon, O'Keefe and Marquardt</t>
  </si>
  <si>
    <t>Peirce</t>
  </si>
  <si>
    <t>Glassman</t>
  </si>
  <si>
    <t>Jones-Franecki</t>
  </si>
  <si>
    <t>Merrill</t>
  </si>
  <si>
    <t>Giacaponi</t>
  </si>
  <si>
    <t>Mayert, Stark and Macejkovic</t>
  </si>
  <si>
    <t>Batholomew</t>
  </si>
  <si>
    <t>Hillan</t>
  </si>
  <si>
    <t>Kutch, Ward and Ledner</t>
  </si>
  <si>
    <t>Calypso</t>
  </si>
  <si>
    <t>McGeneay</t>
  </si>
  <si>
    <t>Huels LLC</t>
  </si>
  <si>
    <t>Rhodia</t>
  </si>
  <si>
    <t>Eakeley</t>
  </si>
  <si>
    <t>Leffler, Waters and Nolan</t>
  </si>
  <si>
    <t>Malvina</t>
  </si>
  <si>
    <t>Alvey</t>
  </si>
  <si>
    <t>Hirthe, Bayer and Christiansen</t>
  </si>
  <si>
    <t>Skipton</t>
  </si>
  <si>
    <t>Matushevich</t>
  </si>
  <si>
    <t>Streich LLC</t>
  </si>
  <si>
    <t>Iglesias</t>
  </si>
  <si>
    <t>Balistreri-Bernier</t>
  </si>
  <si>
    <t>Saw</t>
  </si>
  <si>
    <t>Jellicorse</t>
  </si>
  <si>
    <t>Witting, Doyle and Herman</t>
  </si>
  <si>
    <t>Marietta</t>
  </si>
  <si>
    <t>Lodin</t>
  </si>
  <si>
    <t>Abernathy, Heidenreich and Conn</t>
  </si>
  <si>
    <t>Carmine</t>
  </si>
  <si>
    <t>Tebald</t>
  </si>
  <si>
    <t>Koss and Sons</t>
  </si>
  <si>
    <t>Jerrilee</t>
  </si>
  <si>
    <t>Albisser</t>
  </si>
  <si>
    <t>Kutch, Runte and Johnson</t>
  </si>
  <si>
    <t>Marcelia</t>
  </si>
  <si>
    <t>Layhe</t>
  </si>
  <si>
    <t>Fadel-Hilpert</t>
  </si>
  <si>
    <t>Sarena</t>
  </si>
  <si>
    <t>Dollin</t>
  </si>
  <si>
    <t>Satterfield and Sons</t>
  </si>
  <si>
    <t>Avery</t>
  </si>
  <si>
    <t>Giovanardi</t>
  </si>
  <si>
    <t>Lockman, Kreiger and Hudson</t>
  </si>
  <si>
    <t>Marj</t>
  </si>
  <si>
    <t>Batterbee</t>
  </si>
  <si>
    <t>Boyer-Jacobs</t>
  </si>
  <si>
    <t>Bastian</t>
  </si>
  <si>
    <t>Hughland</t>
  </si>
  <si>
    <t>Raynor-Reinger</t>
  </si>
  <si>
    <t>Managing Director</t>
  </si>
  <si>
    <t>Gretel</t>
  </si>
  <si>
    <t>Kemwall</t>
  </si>
  <si>
    <t>Parisian-Barton</t>
  </si>
  <si>
    <t>Sandra</t>
  </si>
  <si>
    <t>Delagua</t>
  </si>
  <si>
    <t>Wolff Group</t>
  </si>
  <si>
    <t>Gabbie</t>
  </si>
  <si>
    <t>Joselson</t>
  </si>
  <si>
    <t>Connelly-Greenholt</t>
  </si>
  <si>
    <t>Bertha</t>
  </si>
  <si>
    <t>Biskupski</t>
  </si>
  <si>
    <t>Strosin and Sons</t>
  </si>
  <si>
    <t>Aloysia</t>
  </si>
  <si>
    <t>Doolan</t>
  </si>
  <si>
    <t>Smith-Hoeger</t>
  </si>
  <si>
    <t>Cecelia</t>
  </si>
  <si>
    <t>Ludvigsen</t>
  </si>
  <si>
    <t>Weimann-Waters</t>
  </si>
  <si>
    <t>Yvette</t>
  </si>
  <si>
    <t>Rearie</t>
  </si>
  <si>
    <t>McKenzie, Champlin and Emard</t>
  </si>
  <si>
    <t>Jemmy</t>
  </si>
  <si>
    <t>Chazelas</t>
  </si>
  <si>
    <t>Senger Group</t>
  </si>
  <si>
    <t>Sargent</t>
  </si>
  <si>
    <t>Girardet</t>
  </si>
  <si>
    <t>Bernier, Mraz and Rohan</t>
  </si>
  <si>
    <t>Northrup</t>
  </si>
  <si>
    <t>Deavin</t>
  </si>
  <si>
    <t>Ward-McClure</t>
  </si>
  <si>
    <t>Albie</t>
  </si>
  <si>
    <t>Bratcher</t>
  </si>
  <si>
    <t>Mertz Inc</t>
  </si>
  <si>
    <t>Hobey</t>
  </si>
  <si>
    <t>Tuftin</t>
  </si>
  <si>
    <t>Kunze Group</t>
  </si>
  <si>
    <t>Georg</t>
  </si>
  <si>
    <t>Grivori</t>
  </si>
  <si>
    <t>Marquardt Group</t>
  </si>
  <si>
    <t>Adamov</t>
  </si>
  <si>
    <t>Ortiz-Medhurst</t>
  </si>
  <si>
    <t>Harmon</t>
  </si>
  <si>
    <t>Perschke</t>
  </si>
  <si>
    <t>Schaefer, Haag and Heaney</t>
  </si>
  <si>
    <t>Cari</t>
  </si>
  <si>
    <t>Galvan</t>
  </si>
  <si>
    <t>McClure, Lehner and Bechtelar</t>
  </si>
  <si>
    <t>Olive</t>
  </si>
  <si>
    <t>Chown</t>
  </si>
  <si>
    <t>Konopelski Group</t>
  </si>
  <si>
    <t>Inigo</t>
  </si>
  <si>
    <t>Bartoszek</t>
  </si>
  <si>
    <t>Fritsch, Lang and Homenick</t>
  </si>
  <si>
    <t>Beatrisa</t>
  </si>
  <si>
    <t>Pounds</t>
  </si>
  <si>
    <t>Pollich-Sawayn</t>
  </si>
  <si>
    <t>Arlette</t>
  </si>
  <si>
    <t>Rainville</t>
  </si>
  <si>
    <t>Goodwin, Russel and Muller</t>
  </si>
  <si>
    <t>Margi</t>
  </si>
  <si>
    <t>Eberts</t>
  </si>
  <si>
    <t>Pacocha Group</t>
  </si>
  <si>
    <t>Ingelbert</t>
  </si>
  <si>
    <t>Ventum</t>
  </si>
  <si>
    <t>Lind, Walter and Schmeler</t>
  </si>
  <si>
    <t>Jan</t>
  </si>
  <si>
    <t>Leneve</t>
  </si>
  <si>
    <t>Leannon-Hettinger</t>
  </si>
  <si>
    <t>Cleve</t>
  </si>
  <si>
    <t>Whitwam</t>
  </si>
  <si>
    <t>Hermann-Conn</t>
  </si>
  <si>
    <t>Vincenz</t>
  </si>
  <si>
    <t>Oswell</t>
  </si>
  <si>
    <t>Waters, Smith and Kautzer</t>
  </si>
  <si>
    <t>Dorella</t>
  </si>
  <si>
    <t>Tisun</t>
  </si>
  <si>
    <t>O'Kon-Rippin</t>
  </si>
  <si>
    <t>Jonathon</t>
  </si>
  <si>
    <t>Wickins</t>
  </si>
  <si>
    <t>Kautzer, Crooks and Homenick</t>
  </si>
  <si>
    <t>Mina</t>
  </si>
  <si>
    <t>Ozelton</t>
  </si>
  <si>
    <t>Lebsack, Hegmann and Feest</t>
  </si>
  <si>
    <t>Marten</t>
  </si>
  <si>
    <t>Feldhuhn</t>
  </si>
  <si>
    <t>Vandervort, Gerhold and Abernathy</t>
  </si>
  <si>
    <t>Babbette</t>
  </si>
  <si>
    <t>Lutty</t>
  </si>
  <si>
    <t>Lemke and Sons</t>
  </si>
  <si>
    <t>Camilla</t>
  </si>
  <si>
    <t>Huccaby</t>
  </si>
  <si>
    <t>Howell, Cronin and Mueller</t>
  </si>
  <si>
    <t>Fredek</t>
  </si>
  <si>
    <t>Greveson</t>
  </si>
  <si>
    <t>Yost Inc</t>
  </si>
  <si>
    <t>Anna-diana</t>
  </si>
  <si>
    <t>Bruggen</t>
  </si>
  <si>
    <t>Hudson-Kessler</t>
  </si>
  <si>
    <t>Blinni</t>
  </si>
  <si>
    <t>Darkott</t>
  </si>
  <si>
    <t>Walker Group</t>
  </si>
  <si>
    <t>Giselle</t>
  </si>
  <si>
    <t>Smithyman</t>
  </si>
  <si>
    <t>White and Sons</t>
  </si>
  <si>
    <t>Waverly</t>
  </si>
  <si>
    <t>Hillett</t>
  </si>
  <si>
    <t>Schneider-Kozey</t>
  </si>
  <si>
    <t>Suzanne</t>
  </si>
  <si>
    <t>Dymond</t>
  </si>
  <si>
    <t>Littel, Mosciski and Heathcote</t>
  </si>
  <si>
    <t>Koo</t>
  </si>
  <si>
    <t>Ibbeson</t>
  </si>
  <si>
    <t>Mitchell LLC</t>
  </si>
  <si>
    <t>Gwenny</t>
  </si>
  <si>
    <t>Cordrey</t>
  </si>
  <si>
    <t>Wilkinson and Sons</t>
  </si>
  <si>
    <t>Davin</t>
  </si>
  <si>
    <t>Salliere</t>
  </si>
  <si>
    <t>Terry, Stark and Ritchie</t>
  </si>
  <si>
    <t>Augie</t>
  </si>
  <si>
    <t>Bogges</t>
  </si>
  <si>
    <t>Conroy-Kub</t>
  </si>
  <si>
    <t>Zea</t>
  </si>
  <si>
    <t>Denham</t>
  </si>
  <si>
    <t>Mante-Kozey</t>
  </si>
  <si>
    <t>Andros</t>
  </si>
  <si>
    <t>Liverseege</t>
  </si>
  <si>
    <t>Kuvalis, Hagenes and Hansen</t>
  </si>
  <si>
    <t>Gardiner</t>
  </si>
  <si>
    <t>McElrea</t>
  </si>
  <si>
    <t>Abernathy-Lakin</t>
  </si>
  <si>
    <t>Leora</t>
  </si>
  <si>
    <t>Sweynson</t>
  </si>
  <si>
    <t>Oberbrunner, Langosh and Nienow</t>
  </si>
  <si>
    <t>Nannie</t>
  </si>
  <si>
    <t>Meenan</t>
  </si>
  <si>
    <t>Olson Inc</t>
  </si>
  <si>
    <t>Callie</t>
  </si>
  <si>
    <t>Kopps</t>
  </si>
  <si>
    <t>Kuvalis, Greenholt and Kuvalis</t>
  </si>
  <si>
    <t>Kerianne</t>
  </si>
  <si>
    <t>Gibbings</t>
  </si>
  <si>
    <t>Flatley, Gerlach and Abernathy</t>
  </si>
  <si>
    <t>Clayson</t>
  </si>
  <si>
    <t>O'Shee</t>
  </si>
  <si>
    <t>Koepp and Sons</t>
  </si>
  <si>
    <t>Karim</t>
  </si>
  <si>
    <t>Prydie</t>
  </si>
  <si>
    <t>Beer Group</t>
  </si>
  <si>
    <t>Denis</t>
  </si>
  <si>
    <t>Parratt</t>
  </si>
  <si>
    <t>Hackett-Predovic</t>
  </si>
  <si>
    <t>Briggs</t>
  </si>
  <si>
    <t>Bagnal</t>
  </si>
  <si>
    <t>Shanahan-Gottlieb</t>
  </si>
  <si>
    <t>Stanislaus</t>
  </si>
  <si>
    <t>Rickis</t>
  </si>
  <si>
    <t>Kreiger, Robel and Homenick</t>
  </si>
  <si>
    <t>Andie</t>
  </si>
  <si>
    <t>Finnimore</t>
  </si>
  <si>
    <t>Hagenes, Hackett and Blick</t>
  </si>
  <si>
    <t>Colline</t>
  </si>
  <si>
    <t>Cleeton</t>
  </si>
  <si>
    <t>Waters-Klein</t>
  </si>
  <si>
    <t>Stirling</t>
  </si>
  <si>
    <t>Trighton</t>
  </si>
  <si>
    <t>McGlynn Group</t>
  </si>
  <si>
    <t>Bobbe</t>
  </si>
  <si>
    <t>Boshard</t>
  </si>
  <si>
    <t>Goodwin, Homenick and Simonis</t>
  </si>
  <si>
    <t>Randie</t>
  </si>
  <si>
    <t>McGreary</t>
  </si>
  <si>
    <t>Yost, Crona and O'Reilly</t>
  </si>
  <si>
    <t>Drud</t>
  </si>
  <si>
    <t>Siggin</t>
  </si>
  <si>
    <t>Krajcik-Boyer</t>
  </si>
  <si>
    <t>Giffard</t>
  </si>
  <si>
    <t>Walkey</t>
  </si>
  <si>
    <t>Effertz Group</t>
  </si>
  <si>
    <t>Tasia</t>
  </si>
  <si>
    <t>Stitch</t>
  </si>
  <si>
    <t>Reilly-Jacobs</t>
  </si>
  <si>
    <t>Brandea</t>
  </si>
  <si>
    <t>Matveichev</t>
  </si>
  <si>
    <t>Blanda, Morissette and Tromp</t>
  </si>
  <si>
    <t>Maurita</t>
  </si>
  <si>
    <t>Klassman</t>
  </si>
  <si>
    <t>Hickle, Ratke and Runte</t>
  </si>
  <si>
    <t>Corine</t>
  </si>
  <si>
    <t>Tonbridge</t>
  </si>
  <si>
    <t>Dicki, Jones and Ankunding</t>
  </si>
  <si>
    <t>Junia</t>
  </si>
  <si>
    <t>Addess</t>
  </si>
  <si>
    <t>Kshlerin Inc</t>
  </si>
  <si>
    <t>Estel</t>
  </si>
  <si>
    <t>Bris</t>
  </si>
  <si>
    <t>Cormier, Goyette and Wolff</t>
  </si>
  <si>
    <t>Pru</t>
  </si>
  <si>
    <t>Nurse</t>
  </si>
  <si>
    <t>Schinner, Mitchell and Bogisich</t>
  </si>
  <si>
    <t>Keene</t>
  </si>
  <si>
    <t>Pate</t>
  </si>
  <si>
    <t>Schroeder Group</t>
  </si>
  <si>
    <t>Nelie</t>
  </si>
  <si>
    <t>Elster</t>
  </si>
  <si>
    <t>Kutch-McGlynn</t>
  </si>
  <si>
    <t>Jilli</t>
  </si>
  <si>
    <t>Errichelli</t>
  </si>
  <si>
    <t>Zulauf Inc</t>
  </si>
  <si>
    <t>Flori</t>
  </si>
  <si>
    <t>Tomkys</t>
  </si>
  <si>
    <t>Hilll, Carter and Powlowski</t>
  </si>
  <si>
    <t>Lilias</t>
  </si>
  <si>
    <t>Sturt</t>
  </si>
  <si>
    <t>Daugherty Inc</t>
  </si>
  <si>
    <t>Tod</t>
  </si>
  <si>
    <t>Schiementz</t>
  </si>
  <si>
    <t>Huel Group</t>
  </si>
  <si>
    <t>Jenny</t>
  </si>
  <si>
    <t>Pettisall</t>
  </si>
  <si>
    <t>Ryan-Parisian</t>
  </si>
  <si>
    <t>Raynor</t>
  </si>
  <si>
    <t>Elverston</t>
  </si>
  <si>
    <t>Krajcik and Sons</t>
  </si>
  <si>
    <t>Ellette</t>
  </si>
  <si>
    <t>Castangia</t>
  </si>
  <si>
    <t>Lockman-Torphy</t>
  </si>
  <si>
    <t>Corina</t>
  </si>
  <si>
    <t>Blythin</t>
  </si>
  <si>
    <t>Roob-Cummings</t>
  </si>
  <si>
    <t>Hurlston</t>
  </si>
  <si>
    <t>Jast Inc</t>
  </si>
  <si>
    <t>Antonella</t>
  </si>
  <si>
    <t>Rodinger</t>
  </si>
  <si>
    <t>Huel-Keeling</t>
  </si>
  <si>
    <t>Forbes</t>
  </si>
  <si>
    <t>Sketh</t>
  </si>
  <si>
    <t>Fay Group</t>
  </si>
  <si>
    <t>Maxwell</t>
  </si>
  <si>
    <t>Cottis</t>
  </si>
  <si>
    <t>Roob Group</t>
  </si>
  <si>
    <t>Michel</t>
  </si>
  <si>
    <t>Callaghan</t>
  </si>
  <si>
    <t>Fritsch, Auer and Ritchie</t>
  </si>
  <si>
    <t>Ursala</t>
  </si>
  <si>
    <t>Broader</t>
  </si>
  <si>
    <t>Labadie-Wisoky</t>
  </si>
  <si>
    <t>Donaugh</t>
  </si>
  <si>
    <t>Arend</t>
  </si>
  <si>
    <t>Klocko and Sons</t>
  </si>
  <si>
    <t>Rudolf</t>
  </si>
  <si>
    <t>Curcher</t>
  </si>
  <si>
    <t>Bailey, Gutmann and Weber</t>
  </si>
  <si>
    <t>Janina</t>
  </si>
  <si>
    <t>Odby</t>
  </si>
  <si>
    <t>Tillman-Muller</t>
  </si>
  <si>
    <t>Deerdre</t>
  </si>
  <si>
    <t>Carratt</t>
  </si>
  <si>
    <t>McGlynn and Sons</t>
  </si>
  <si>
    <t>Stafford</t>
  </si>
  <si>
    <t>Gaye</t>
  </si>
  <si>
    <t>Konopelski-Schneider</t>
  </si>
  <si>
    <t>Hilda</t>
  </si>
  <si>
    <t>Paice</t>
  </si>
  <si>
    <t>Kulas and Sons</t>
  </si>
  <si>
    <t>Virgie</t>
  </si>
  <si>
    <t>Antonucci</t>
  </si>
  <si>
    <t>Heaney LLC</t>
  </si>
  <si>
    <t>Syd</t>
  </si>
  <si>
    <t>Circuit</t>
  </si>
  <si>
    <t>Yost-Herzog</t>
  </si>
  <si>
    <t>Isak</t>
  </si>
  <si>
    <t>Ellcome</t>
  </si>
  <si>
    <t>Schulist-Treutel</t>
  </si>
  <si>
    <t>Kenn</t>
  </si>
  <si>
    <t>Whitear</t>
  </si>
  <si>
    <t>Becker, Wintheiser and Ryan</t>
  </si>
  <si>
    <t>Ratie</t>
  </si>
  <si>
    <t>Kihn Group</t>
  </si>
  <si>
    <t>Grata</t>
  </si>
  <si>
    <t>Philipp</t>
  </si>
  <si>
    <t>Hagenes, Larson and Adams</t>
  </si>
  <si>
    <t>Antoinette</t>
  </si>
  <si>
    <t>Godbehere</t>
  </si>
  <si>
    <t>Lubowitz-Kohler</t>
  </si>
  <si>
    <t>Marlo</t>
  </si>
  <si>
    <t>Costar</t>
  </si>
  <si>
    <t>Wehner-Stokes</t>
  </si>
  <si>
    <t>Trumann</t>
  </si>
  <si>
    <t>Bunyard</t>
  </si>
  <si>
    <t>Hamill, Parisian and Champlin</t>
  </si>
  <si>
    <t>Rolf</t>
  </si>
  <si>
    <t>Frankom</t>
  </si>
  <si>
    <t>Price, Lemke and Stehr</t>
  </si>
  <si>
    <t>Sean</t>
  </si>
  <si>
    <t>Eslie</t>
  </si>
  <si>
    <t>Anderson, Prohaska and Ortiz</t>
  </si>
  <si>
    <t>Feodor</t>
  </si>
  <si>
    <t>FitzGilbert</t>
  </si>
  <si>
    <t>Crona-Bahringer</t>
  </si>
  <si>
    <t>Loretta</t>
  </si>
  <si>
    <t>Minot</t>
  </si>
  <si>
    <t>Marks-Schneider</t>
  </si>
  <si>
    <t>Vaughn</t>
  </si>
  <si>
    <t>Dormand</t>
  </si>
  <si>
    <t>Schinner Inc</t>
  </si>
  <si>
    <t>Dalston</t>
  </si>
  <si>
    <t>Dwire</t>
  </si>
  <si>
    <t>Dicki-Roberts</t>
  </si>
  <si>
    <t>Liddington</t>
  </si>
  <si>
    <t>Ziemann-Kuvalis</t>
  </si>
  <si>
    <t>Nikolai</t>
  </si>
  <si>
    <t>Wrightim</t>
  </si>
  <si>
    <t>Kling, Bergstrom and Towne</t>
  </si>
  <si>
    <t>Augustine</t>
  </si>
  <si>
    <t>Burnage</t>
  </si>
  <si>
    <t>Price, Casper and Corwin</t>
  </si>
  <si>
    <t>Arleen</t>
  </si>
  <si>
    <t>Manifold</t>
  </si>
  <si>
    <t>Shields Group</t>
  </si>
  <si>
    <t>Hans</t>
  </si>
  <si>
    <t>Rillatt</t>
  </si>
  <si>
    <t>Balistreri-Grady</t>
  </si>
  <si>
    <t>Llywellyn</t>
  </si>
  <si>
    <t>Micallef</t>
  </si>
  <si>
    <t>Leffler LLC</t>
  </si>
  <si>
    <t>Leonardo</t>
  </si>
  <si>
    <t>Grinnov</t>
  </si>
  <si>
    <t>Rolfson, Feeney and Goldner</t>
  </si>
  <si>
    <t>Cora</t>
  </si>
  <si>
    <t>Guard</t>
  </si>
  <si>
    <t>Bernhard-O'Kon</t>
  </si>
  <si>
    <t>Gasparo</t>
  </si>
  <si>
    <t>Shelsher</t>
  </si>
  <si>
    <t>Schuppe-Dicki</t>
  </si>
  <si>
    <t>Drona</t>
  </si>
  <si>
    <t>Victor</t>
  </si>
  <si>
    <t>Senger LLC</t>
  </si>
  <si>
    <t>Tommie</t>
  </si>
  <si>
    <t>Tschursch</t>
  </si>
  <si>
    <t>Kris-Crooks</t>
  </si>
  <si>
    <t>Kristo</t>
  </si>
  <si>
    <t>Elvidge</t>
  </si>
  <si>
    <t>Dickinson Group</t>
  </si>
  <si>
    <t>Herold</t>
  </si>
  <si>
    <t>Dawdary</t>
  </si>
  <si>
    <t>Rohan Group</t>
  </si>
  <si>
    <t>Leo</t>
  </si>
  <si>
    <t>Brookwell</t>
  </si>
  <si>
    <t>Boyer-Jacobson</t>
  </si>
  <si>
    <t>Gender</t>
  </si>
  <si>
    <t>Date of Birth</t>
  </si>
  <si>
    <t>Address</t>
  </si>
  <si>
    <t>Country of Origin</t>
  </si>
  <si>
    <t>Personal email ID</t>
  </si>
  <si>
    <t>Contact Number</t>
  </si>
  <si>
    <t>Emergency Contact Number</t>
  </si>
  <si>
    <t>Blood Group</t>
  </si>
  <si>
    <t>Comp. Email ID</t>
  </si>
  <si>
    <t>Salary ($)</t>
  </si>
  <si>
    <t>Age</t>
  </si>
  <si>
    <t>Department</t>
  </si>
  <si>
    <t>Office Location</t>
  </si>
  <si>
    <t>Exited</t>
  </si>
  <si>
    <t>Male</t>
  </si>
  <si>
    <t>02/02/1976</t>
  </si>
  <si>
    <t>45 Banding Crossing</t>
  </si>
  <si>
    <t>ielfe0@ucsd.edu</t>
  </si>
  <si>
    <t>4-436-210-8642</t>
  </si>
  <si>
    <t>621-9041</t>
  </si>
  <si>
    <t>O-</t>
  </si>
  <si>
    <t>Finance</t>
  </si>
  <si>
    <t>New York</t>
  </si>
  <si>
    <t>20/05/2002</t>
  </si>
  <si>
    <t>752 Burning Wood Park</t>
  </si>
  <si>
    <t>sorvis1@jiathis.com</t>
  </si>
  <si>
    <t>601-5547</t>
  </si>
  <si>
    <t>983-9567</t>
  </si>
  <si>
    <t>B-</t>
  </si>
  <si>
    <t>Customer Service</t>
  </si>
  <si>
    <t>Bangalore</t>
  </si>
  <si>
    <t>Female</t>
  </si>
  <si>
    <t>29/07/1996</t>
  </si>
  <si>
    <t>920 Sommers Court</t>
  </si>
  <si>
    <t>pfernandes2@disqus.com</t>
  </si>
  <si>
    <t>120-2059</t>
  </si>
  <si>
    <t>9-679-843-3173</t>
  </si>
  <si>
    <t>B+</t>
  </si>
  <si>
    <t>Marketing</t>
  </si>
  <si>
    <t>Mumbai</t>
  </si>
  <si>
    <t>18/03/1996</t>
  </si>
  <si>
    <t>1 Columbus Drive</t>
  </si>
  <si>
    <t>ptesto3@netlog.com</t>
  </si>
  <si>
    <t>8-588-659-1260</t>
  </si>
  <si>
    <t>444-8829</t>
  </si>
  <si>
    <t>HR</t>
  </si>
  <si>
    <t>Paris</t>
  </si>
  <si>
    <t>27/01/1980</t>
  </si>
  <si>
    <t>4 Bashford Junction</t>
  </si>
  <si>
    <t>mbollins4@arstechnica.com</t>
  </si>
  <si>
    <t>718-7199</t>
  </si>
  <si>
    <t>5-258-847-5927</t>
  </si>
  <si>
    <t>28/04/1991</t>
  </si>
  <si>
    <t>15 Northfield Road</t>
  </si>
  <si>
    <t>gdowsing5@jugem.jp</t>
  </si>
  <si>
    <t>411-6927</t>
  </si>
  <si>
    <t>5-559-222-1210</t>
  </si>
  <si>
    <t>Organizational</t>
  </si>
  <si>
    <t>Toulouse</t>
  </si>
  <si>
    <t>12/09/1984</t>
  </si>
  <si>
    <t>31 Claremont Crossing</t>
  </si>
  <si>
    <t>slinzee6@google.ca</t>
  </si>
  <si>
    <t>829-7127</t>
  </si>
  <si>
    <t>159-9222</t>
  </si>
  <si>
    <t>AB-</t>
  </si>
  <si>
    <t>07/03/1998</t>
  </si>
  <si>
    <t>9 Scofield Circle</t>
  </si>
  <si>
    <t>shartfield7@fc2.com</t>
  </si>
  <si>
    <t>4-114-709-8929</t>
  </si>
  <si>
    <t>4-829-201-8542</t>
  </si>
  <si>
    <t>AB+</t>
  </si>
  <si>
    <t>Sales</t>
  </si>
  <si>
    <t>10/09/1993</t>
  </si>
  <si>
    <t>666 Longview Pass</t>
  </si>
  <si>
    <t>jcraggs8@techcrunch.com</t>
  </si>
  <si>
    <t>260-7765</t>
  </si>
  <si>
    <t>192-3087</t>
  </si>
  <si>
    <t>California</t>
  </si>
  <si>
    <t>24/02/1990</t>
  </si>
  <si>
    <t>9 Hintze Parkway</t>
  </si>
  <si>
    <t>epirrone9@tinyurl.com</t>
  </si>
  <si>
    <t>905-4977</t>
  </si>
  <si>
    <t>5-394-104-4539</t>
  </si>
  <si>
    <t>London</t>
  </si>
  <si>
    <t>21/06/1976</t>
  </si>
  <si>
    <t>0 Namekagon Terrace</t>
  </si>
  <si>
    <t>ksteptowea@miibeian.gov.cn</t>
  </si>
  <si>
    <t>1-801-747-6832</t>
  </si>
  <si>
    <t>9-572-921-7446</t>
  </si>
  <si>
    <t>13/08/1990</t>
  </si>
  <si>
    <t>1 Michigan Road</t>
  </si>
  <si>
    <t>ggirardinib@wikispaces.com</t>
  </si>
  <si>
    <t>4-617-814-8079</t>
  </si>
  <si>
    <t>163-2802</t>
  </si>
  <si>
    <t>A+</t>
  </si>
  <si>
    <t>21/07/1989</t>
  </si>
  <si>
    <t>8 Delladonna Avenue</t>
  </si>
  <si>
    <t>amilesapc@posterous.com</t>
  </si>
  <si>
    <t>562-4046</t>
  </si>
  <si>
    <t>7-761-665-1097</t>
  </si>
  <si>
    <t>Dubai</t>
  </si>
  <si>
    <t>26/06/1981</t>
  </si>
  <si>
    <t>477 Carpenter Alley</t>
  </si>
  <si>
    <t>bmorralld@theglobeandmail.com</t>
  </si>
  <si>
    <t>418-9140</t>
  </si>
  <si>
    <t>1-249-237-0778</t>
  </si>
  <si>
    <t>17/09/1992</t>
  </si>
  <si>
    <t>94 Forster Center</t>
  </si>
  <si>
    <t>mvasovice@usda.gov</t>
  </si>
  <si>
    <t>4-686-830-0700</t>
  </si>
  <si>
    <t>708-6639</t>
  </si>
  <si>
    <t>13/09/2000</t>
  </si>
  <si>
    <t>09353 Meadow Vale Crossing</t>
  </si>
  <si>
    <t>sfyldesf@bing.com</t>
  </si>
  <si>
    <t>483-6260</t>
  </si>
  <si>
    <t>5-956-290-8505</t>
  </si>
  <si>
    <t>09/08/1983</t>
  </si>
  <si>
    <t>37 Longview Place</t>
  </si>
  <si>
    <t>krearyg@google.com.au</t>
  </si>
  <si>
    <t>1-910-741-0239</t>
  </si>
  <si>
    <t>990-2823</t>
  </si>
  <si>
    <t>04/01/1999</t>
  </si>
  <si>
    <t>3 Evergreen Street</t>
  </si>
  <si>
    <t>nscolah@sphinn.com</t>
  </si>
  <si>
    <t>777-7061</t>
  </si>
  <si>
    <t>866-2533</t>
  </si>
  <si>
    <t>11/01/1997</t>
  </si>
  <si>
    <t>17813 Russell Park</t>
  </si>
  <si>
    <t>dconibeari@nbcnews.com</t>
  </si>
  <si>
    <t>4-331-801-0822</t>
  </si>
  <si>
    <t>201-9767</t>
  </si>
  <si>
    <t>29/11/1997</t>
  </si>
  <si>
    <t>88 Coleman Center</t>
  </si>
  <si>
    <t>dhambletonj@soup.io</t>
  </si>
  <si>
    <t>3-825-640-0342</t>
  </si>
  <si>
    <t>806-8611</t>
  </si>
  <si>
    <t>IT &amp; Admin</t>
  </si>
  <si>
    <t>23/10/1991</t>
  </si>
  <si>
    <t>60 Linden Trail</t>
  </si>
  <si>
    <t>mdefilippisk@friendfeed.com</t>
  </si>
  <si>
    <t>254-9861</t>
  </si>
  <si>
    <t>1-253-642-5695</t>
  </si>
  <si>
    <t>01/01/1990</t>
  </si>
  <si>
    <t>62397 Nevada Road</t>
  </si>
  <si>
    <t>dbentalll@ibm.com</t>
  </si>
  <si>
    <t>555-2436</t>
  </si>
  <si>
    <t>373-8570</t>
  </si>
  <si>
    <t>O+</t>
  </si>
  <si>
    <t>20/11/1996</t>
  </si>
  <si>
    <t>599 Union Pass</t>
  </si>
  <si>
    <t>sdunnettm@a8.net</t>
  </si>
  <si>
    <t>203-9652</t>
  </si>
  <si>
    <t>242-2798</t>
  </si>
  <si>
    <t>10/09/1996</t>
  </si>
  <si>
    <t>6484 Sloan Terrace</t>
  </si>
  <si>
    <t>tlamonbyn@cornell.edu</t>
  </si>
  <si>
    <t>336-7980</t>
  </si>
  <si>
    <t>828-0960</t>
  </si>
  <si>
    <t>18/10/1993</t>
  </si>
  <si>
    <t>72822 International Pass</t>
  </si>
  <si>
    <t>crevilleo@ezinearticles.com</t>
  </si>
  <si>
    <t>663-9125</t>
  </si>
  <si>
    <t>9-817-763-4730</t>
  </si>
  <si>
    <t>05/12/1993</t>
  </si>
  <si>
    <t>84817 Holy Cross Parkway</t>
  </si>
  <si>
    <t>jcolyerp@devhub.com</t>
  </si>
  <si>
    <t>7-534-755-7915</t>
  </si>
  <si>
    <t>597-3443</t>
  </si>
  <si>
    <t>30/09/1986</t>
  </si>
  <si>
    <t>56 Clemons Way</t>
  </si>
  <si>
    <t>lwightq@wiley.com</t>
  </si>
  <si>
    <t>3-365-546-5487</t>
  </si>
  <si>
    <t>569-7011</t>
  </si>
  <si>
    <t>27/08/1983</t>
  </si>
  <si>
    <t>24 Melody Street</t>
  </si>
  <si>
    <t>pnorvellr@time.com</t>
  </si>
  <si>
    <t>1-872-659-0180</t>
  </si>
  <si>
    <t>271-7843</t>
  </si>
  <si>
    <t>19/04/1980</t>
  </si>
  <si>
    <t>782 Anhalt Terrace</t>
  </si>
  <si>
    <t>tvandevliess@ed.gov</t>
  </si>
  <si>
    <t>640-6928</t>
  </si>
  <si>
    <t>490-3732</t>
  </si>
  <si>
    <t>13/07/1980</t>
  </si>
  <si>
    <t>359 Oak Lane</t>
  </si>
  <si>
    <t>dheffernont@youtube.com</t>
  </si>
  <si>
    <t>131-5095</t>
  </si>
  <si>
    <t>3-297-798-3839</t>
  </si>
  <si>
    <t>10/12/1995</t>
  </si>
  <si>
    <t>6 Fulton Street</t>
  </si>
  <si>
    <t>mpilgramu@wordpress.org</t>
  </si>
  <si>
    <t>366-7447</t>
  </si>
  <si>
    <t>1-734-317-4775</t>
  </si>
  <si>
    <t>04/02/1999</t>
  </si>
  <si>
    <t>79 Gateway Crossing</t>
  </si>
  <si>
    <t>ngasnollv@miitbeian.gov.cn</t>
  </si>
  <si>
    <t>7-404-583-5801</t>
  </si>
  <si>
    <t>6-104-559-0775</t>
  </si>
  <si>
    <t>13/10/1975</t>
  </si>
  <si>
    <t>139 Springview Circle</t>
  </si>
  <si>
    <t>dmeirw@slashdot.org</t>
  </si>
  <si>
    <t>775-1392</t>
  </si>
  <si>
    <t>6-181-325-7218</t>
  </si>
  <si>
    <t>05/04/1983</t>
  </si>
  <si>
    <t>63 Sutherland Street</t>
  </si>
  <si>
    <t>eadolfsenx@cmu.edu</t>
  </si>
  <si>
    <t>851-1929</t>
  </si>
  <si>
    <t>6-230-391-9109</t>
  </si>
  <si>
    <t>02/10/1997</t>
  </si>
  <si>
    <t>39 Elgar Junction</t>
  </si>
  <si>
    <t>tpanimany@canalblog.com</t>
  </si>
  <si>
    <t>482-5606</t>
  </si>
  <si>
    <t>120-7893</t>
  </si>
  <si>
    <t>09/02/2001</t>
  </si>
  <si>
    <t>98 5th Hill</t>
  </si>
  <si>
    <t>aeykelboschz@ted.com</t>
  </si>
  <si>
    <t>396-8475</t>
  </si>
  <si>
    <t>2-231-127-8156</t>
  </si>
  <si>
    <t>08/04/1999</t>
  </si>
  <si>
    <t>351 Everett Hill</t>
  </si>
  <si>
    <t>nstansall10@mapy.cz</t>
  </si>
  <si>
    <t>712-7351</t>
  </si>
  <si>
    <t>7-528-707-2490</t>
  </si>
  <si>
    <t>01/06/1981</t>
  </si>
  <si>
    <t>7 Sloan Crossing</t>
  </si>
  <si>
    <t>bbottomore11@behance.net</t>
  </si>
  <si>
    <t>307-5015</t>
  </si>
  <si>
    <t>8-612-713-4317</t>
  </si>
  <si>
    <t>03/09/2001</t>
  </si>
  <si>
    <t>79 Lakewood Alley</t>
  </si>
  <si>
    <t>sebertz12@weebly.com</t>
  </si>
  <si>
    <t>3-759-936-9245</t>
  </si>
  <si>
    <t>589-5298</t>
  </si>
  <si>
    <t>18/03/2000</t>
  </si>
  <si>
    <t>48194 Moose Alley</t>
  </si>
  <si>
    <t>adenton13@friendfeed.com</t>
  </si>
  <si>
    <t>8-808-178-4730</t>
  </si>
  <si>
    <t>479-5489</t>
  </si>
  <si>
    <t>26/03/1980</t>
  </si>
  <si>
    <t>13 Anderson Court</t>
  </si>
  <si>
    <t>nbeccles14@printfriendly.com</t>
  </si>
  <si>
    <t>8-446-958-1956</t>
  </si>
  <si>
    <t>113-1687</t>
  </si>
  <si>
    <t>05/04/2002</t>
  </si>
  <si>
    <t>550 La Follette Way</t>
  </si>
  <si>
    <t>lofarris15@mayoclinic.com</t>
  </si>
  <si>
    <t>771-5363</t>
  </si>
  <si>
    <t>543-4779</t>
  </si>
  <si>
    <t>06/01/1992</t>
  </si>
  <si>
    <t>45 Independence Way</t>
  </si>
  <si>
    <t>svalti16@unblog.fr</t>
  </si>
  <si>
    <t>258-0360</t>
  </si>
  <si>
    <t>1-411-398-2596</t>
  </si>
  <si>
    <t>05/04/1990</t>
  </si>
  <si>
    <t>236 Hermina Terrace</t>
  </si>
  <si>
    <t>cmilkins17@nifty.com</t>
  </si>
  <si>
    <t>286-7568</t>
  </si>
  <si>
    <t>9-864-704-6144</t>
  </si>
  <si>
    <t>02/05/1978</t>
  </si>
  <si>
    <t>29 Nevada Point</t>
  </si>
  <si>
    <t>dperrinchief18@ning.com</t>
  </si>
  <si>
    <t>721-0457</t>
  </si>
  <si>
    <t>4-231-499-4658</t>
  </si>
  <si>
    <t>02/01/1991</t>
  </si>
  <si>
    <t>7850 Londonderry Park</t>
  </si>
  <si>
    <t>csuthworth19@vistaprint.com</t>
  </si>
  <si>
    <t>527-5013</t>
  </si>
  <si>
    <t>155-6522</t>
  </si>
  <si>
    <t>10/09/1982</t>
  </si>
  <si>
    <t>32 Lawn Trail</t>
  </si>
  <si>
    <t>dgaber1a@tmall.com</t>
  </si>
  <si>
    <t>4-827-476-4249</t>
  </si>
  <si>
    <t>4-663-307-4814</t>
  </si>
  <si>
    <t>22/09/1990</t>
  </si>
  <si>
    <t>582 Independence Point</t>
  </si>
  <si>
    <t>rdrioli1b@com.com</t>
  </si>
  <si>
    <t>767-0141</t>
  </si>
  <si>
    <t>5-596-139-4190</t>
  </si>
  <si>
    <t>05/03/2000</t>
  </si>
  <si>
    <t>03 Leroy Circle</t>
  </si>
  <si>
    <t>cpenvarne1c@dot.gov</t>
  </si>
  <si>
    <t>0-996-281-1506</t>
  </si>
  <si>
    <t>914-7127</t>
  </si>
  <si>
    <t>09/05/2000</t>
  </si>
  <si>
    <t>0 Marquette Junction</t>
  </si>
  <si>
    <t>gsindle1d@wikipedia.org</t>
  </si>
  <si>
    <t>0-672-552-3438</t>
  </si>
  <si>
    <t>4-545-159-4341</t>
  </si>
  <si>
    <t>29/06/1991</t>
  </si>
  <si>
    <t>8 Summerview Drive</t>
  </si>
  <si>
    <t>mstorrie1e@w3.org</t>
  </si>
  <si>
    <t>3-786-677-5565</t>
  </si>
  <si>
    <t>357-8196</t>
  </si>
  <si>
    <t>02/05/2000</t>
  </si>
  <si>
    <t>4 Maryland Road</t>
  </si>
  <si>
    <t>bduiguid1f@elegantthemes.com</t>
  </si>
  <si>
    <t>912-6587</t>
  </si>
  <si>
    <t>5-829-112-9647</t>
  </si>
  <si>
    <t>19/08/1998</t>
  </si>
  <si>
    <t>6845 Briar Crest Plaza</t>
  </si>
  <si>
    <t>ssanger1g@shutterfly.com</t>
  </si>
  <si>
    <t>824-4179</t>
  </si>
  <si>
    <t>610-8885</t>
  </si>
  <si>
    <t>06/08/1976</t>
  </si>
  <si>
    <t>54 Rusk Circle</t>
  </si>
  <si>
    <t>mbradtke1h@macromedia.com</t>
  </si>
  <si>
    <t>4-303-436-0713</t>
  </si>
  <si>
    <t>350-3479</t>
  </si>
  <si>
    <t>26/02/1994</t>
  </si>
  <si>
    <t>4 Mosinee Plaza</t>
  </si>
  <si>
    <t>knassi1i@myspace.com</t>
  </si>
  <si>
    <t>0-515-957-0666</t>
  </si>
  <si>
    <t>8-402-423-1073</t>
  </si>
  <si>
    <t>30/01/2001</t>
  </si>
  <si>
    <t>9 Dunning Terrace</t>
  </si>
  <si>
    <t>ghackford1j@home.pl</t>
  </si>
  <si>
    <t>4-629-232-9976</t>
  </si>
  <si>
    <t>423-3636</t>
  </si>
  <si>
    <t>09/09/1996</t>
  </si>
  <si>
    <t>2438 Bonner Alley</t>
  </si>
  <si>
    <t>dpentecust1k@pbs.org</t>
  </si>
  <si>
    <t>805-7204</t>
  </si>
  <si>
    <t>7-245-676-2298</t>
  </si>
  <si>
    <t>25/02/2000</t>
  </si>
  <si>
    <t>195 Fuller Junction</t>
  </si>
  <si>
    <t>sianizzi1l@diigo.com</t>
  </si>
  <si>
    <t>780-4936</t>
  </si>
  <si>
    <t>6-853-385-1260</t>
  </si>
  <si>
    <t>13/03/1994</t>
  </si>
  <si>
    <t>89 Caliangt Junction</t>
  </si>
  <si>
    <t>wridolfo1m@msn.com</t>
  </si>
  <si>
    <t>254-4175</t>
  </si>
  <si>
    <t>991-8527</t>
  </si>
  <si>
    <t>04/06/1986</t>
  </si>
  <si>
    <t>941 Ilene Circle</t>
  </si>
  <si>
    <t>cbrewins1n@pinterest.com</t>
  </si>
  <si>
    <t>476-4784</t>
  </si>
  <si>
    <t>736-1041</t>
  </si>
  <si>
    <t>02/05/2001</t>
  </si>
  <si>
    <t>0570 Coleman Crossing</t>
  </si>
  <si>
    <t>dpinches1o@tinyurl.com</t>
  </si>
  <si>
    <t>9-223-350-9819</t>
  </si>
  <si>
    <t>3-366-633-6023</t>
  </si>
  <si>
    <t>Purchasing</t>
  </si>
  <si>
    <t>24/12/1988</t>
  </si>
  <si>
    <t>43525 Goodland Terrace</t>
  </si>
  <si>
    <t>cgowrie1p@hatena.ne.jp</t>
  </si>
  <si>
    <t>1-473-678-3867</t>
  </si>
  <si>
    <t>143-5773</t>
  </si>
  <si>
    <t>24/01/1976</t>
  </si>
  <si>
    <t>55 Nevada Place</t>
  </si>
  <si>
    <t>rjentle1q@reverbnation.com</t>
  </si>
  <si>
    <t>1-144-250-3284</t>
  </si>
  <si>
    <t>7-598-804-2949</t>
  </si>
  <si>
    <t>15/05/1997</t>
  </si>
  <si>
    <t>3 New Castle Avenue</t>
  </si>
  <si>
    <t>lcason1r@disqus.com</t>
  </si>
  <si>
    <t>217-7469</t>
  </si>
  <si>
    <t>674-4284</t>
  </si>
  <si>
    <t>03/12/1978</t>
  </si>
  <si>
    <t>21 Dottie Pass</t>
  </si>
  <si>
    <t>cquig1s@unicef.org</t>
  </si>
  <si>
    <t>7-261-126-3392</t>
  </si>
  <si>
    <t>490-2130</t>
  </si>
  <si>
    <t>25/05/1978</t>
  </si>
  <si>
    <t>8 Johnson Trail</t>
  </si>
  <si>
    <t>baldrin1t@1688.com</t>
  </si>
  <si>
    <t>0-473-438-7751</t>
  </si>
  <si>
    <t>753-7399</t>
  </si>
  <si>
    <t>05/11/1984</t>
  </si>
  <si>
    <t>2 Elgar Circle</t>
  </si>
  <si>
    <t>ktubb1u@si.edu</t>
  </si>
  <si>
    <t>4-592-414-1616</t>
  </si>
  <si>
    <t>380-2654</t>
  </si>
  <si>
    <t>19/04/1978</t>
  </si>
  <si>
    <t>46119 Cambridge Terrace</t>
  </si>
  <si>
    <t>kdouse1v@constantcontact.com</t>
  </si>
  <si>
    <t>5-690-899-3980</t>
  </si>
  <si>
    <t>953-2901</t>
  </si>
  <si>
    <t>07/09/1997</t>
  </si>
  <si>
    <t>9 Prairieview Circle</t>
  </si>
  <si>
    <t>dhinz1w@cmu.edu</t>
  </si>
  <si>
    <t>938-0188</t>
  </si>
  <si>
    <t>1-313-633-0172</t>
  </si>
  <si>
    <t>28/04/1982</t>
  </si>
  <si>
    <t>9445 Sauthoff Hill</t>
  </si>
  <si>
    <t>dmorad1x@cornell.edu</t>
  </si>
  <si>
    <t>0-497-390-7575</t>
  </si>
  <si>
    <t>457-0927</t>
  </si>
  <si>
    <t>17/08/1976</t>
  </si>
  <si>
    <t>94242 Hazelcrest Road</t>
  </si>
  <si>
    <t>hparsons1y@nps.gov</t>
  </si>
  <si>
    <t>8-101-298-4843</t>
  </si>
  <si>
    <t>458-8615</t>
  </si>
  <si>
    <t>30/05/1983</t>
  </si>
  <si>
    <t>74 Pearson Alley</t>
  </si>
  <si>
    <t>cleatherbarrow1z@shop-pro.jp</t>
  </si>
  <si>
    <t>593-1817</t>
  </si>
  <si>
    <t>5-688-921-6764</t>
  </si>
  <si>
    <t>17/06/1982</t>
  </si>
  <si>
    <t>926 Corben Alley</t>
  </si>
  <si>
    <t>kblythe20@nps.gov</t>
  </si>
  <si>
    <t>4-332-187-8145</t>
  </si>
  <si>
    <t>471-2198</t>
  </si>
  <si>
    <t>30/11/1991</t>
  </si>
  <si>
    <t>98006 Dottie Alley</t>
  </si>
  <si>
    <t>mbontine21@latimes.com</t>
  </si>
  <si>
    <t>1-647-477-6340</t>
  </si>
  <si>
    <t>0-731-899-5071</t>
  </si>
  <si>
    <t>05/01/1988</t>
  </si>
  <si>
    <t>4 Fuller Court</t>
  </si>
  <si>
    <t>ilevane22@blogspot.com</t>
  </si>
  <si>
    <t>370-4971</t>
  </si>
  <si>
    <t>6-111-366-7934</t>
  </si>
  <si>
    <t>12/11/1991</t>
  </si>
  <si>
    <t>7 Blue Bill Park Park</t>
  </si>
  <si>
    <t>mkleen23@skype.com</t>
  </si>
  <si>
    <t>7-325-875-2341</t>
  </si>
  <si>
    <t>289-9326</t>
  </si>
  <si>
    <t>07/12/1987</t>
  </si>
  <si>
    <t>558 Springs Trail</t>
  </si>
  <si>
    <t>epury24@deviantart.com</t>
  </si>
  <si>
    <t>1-684-824-0948</t>
  </si>
  <si>
    <t>4-341-437-3211</t>
  </si>
  <si>
    <t>06/07/1977</t>
  </si>
  <si>
    <t>38158 Commercial Place</t>
  </si>
  <si>
    <t>bentreis25@ifeng.com</t>
  </si>
  <si>
    <t>759-8239</t>
  </si>
  <si>
    <t>5-545-691-5212</t>
  </si>
  <si>
    <t>16/05/1984</t>
  </si>
  <si>
    <t>39317 Fairview Terrace</t>
  </si>
  <si>
    <t>llovett26@de.vu</t>
  </si>
  <si>
    <t>660-9333</t>
  </si>
  <si>
    <t>893-6079</t>
  </si>
  <si>
    <t>20/10/1980</t>
  </si>
  <si>
    <t>75532 Golden Leaf Junction</t>
  </si>
  <si>
    <t>nmedendorp27@yelp.com</t>
  </si>
  <si>
    <t>340-3184</t>
  </si>
  <si>
    <t>363-3991</t>
  </si>
  <si>
    <t>30/08/1983</t>
  </si>
  <si>
    <t>1 Coleman Crossing</t>
  </si>
  <si>
    <t>eyoud28@dailymail.co.uk</t>
  </si>
  <si>
    <t>237-9177</t>
  </si>
  <si>
    <t>746-4979</t>
  </si>
  <si>
    <t>15/09/1984</t>
  </si>
  <si>
    <t>589 Kipling Court</t>
  </si>
  <si>
    <t>ngiovanitti29@mlb.com</t>
  </si>
  <si>
    <t>8-573-378-1094</t>
  </si>
  <si>
    <t>663-3219</t>
  </si>
  <si>
    <t>28/11/1976</t>
  </si>
  <si>
    <t>20 Erie Way</t>
  </si>
  <si>
    <t>jvlasyuk2a@a8.net</t>
  </si>
  <si>
    <t>614-3538</t>
  </si>
  <si>
    <t>407-2094</t>
  </si>
  <si>
    <t>04/09/1977</t>
  </si>
  <si>
    <t>0408 Myrtle Court</t>
  </si>
  <si>
    <t>mharriot2b@salon.com</t>
  </si>
  <si>
    <t>3-766-211-1195</t>
  </si>
  <si>
    <t>2-607-955-0599</t>
  </si>
  <si>
    <t>18/11/1996</t>
  </si>
  <si>
    <t>47 Golden Leaf Trail</t>
  </si>
  <si>
    <t>cantonchik2c@yelp.com</t>
  </si>
  <si>
    <t>718-3595</t>
  </si>
  <si>
    <t>913-3829</t>
  </si>
  <si>
    <t>11/05/1978</t>
  </si>
  <si>
    <t>673 Sundown Center</t>
  </si>
  <si>
    <t>rocodihie2d@ustream.tv</t>
  </si>
  <si>
    <t>276-2248</t>
  </si>
  <si>
    <t>940-4369</t>
  </si>
  <si>
    <t>24/01/1995</t>
  </si>
  <si>
    <t>4512 Briar Crest Junction</t>
  </si>
  <si>
    <t>kwarne2e@wired.com</t>
  </si>
  <si>
    <t>4-426-954-0180</t>
  </si>
  <si>
    <t>6-945-192-6260</t>
  </si>
  <si>
    <t>24/01/2002</t>
  </si>
  <si>
    <t>78268 Harbort Plaza</t>
  </si>
  <si>
    <t>hglyssanne2f@list-manage.com</t>
  </si>
  <si>
    <t>867-2581</t>
  </si>
  <si>
    <t>592-1957</t>
  </si>
  <si>
    <t>19/04/1994</t>
  </si>
  <si>
    <t>5 Grasskamp Crossing</t>
  </si>
  <si>
    <t>amokes2g@cnet.com</t>
  </si>
  <si>
    <t>2-434-537-0003</t>
  </si>
  <si>
    <t>650-7711</t>
  </si>
  <si>
    <t>12/08/1978</t>
  </si>
  <si>
    <t>68 Iowa Park</t>
  </si>
  <si>
    <t>ledgerly2h@devhub.com</t>
  </si>
  <si>
    <t>443-7935</t>
  </si>
  <si>
    <t>797-8632</t>
  </si>
  <si>
    <t>22/08/1980</t>
  </si>
  <si>
    <t>47 Main Avenue</t>
  </si>
  <si>
    <t>gcashford2i@usnews.com</t>
  </si>
  <si>
    <t>379-0187</t>
  </si>
  <si>
    <t>9-155-545-8386</t>
  </si>
  <si>
    <t>Inventory</t>
  </si>
  <si>
    <t>24/06/1995</t>
  </si>
  <si>
    <t>75 Eliot Junction</t>
  </si>
  <si>
    <t>csalvador2j@stanford.edu</t>
  </si>
  <si>
    <t>563-1317</t>
  </si>
  <si>
    <t>9-709-590-5167</t>
  </si>
  <si>
    <t>21/04/1981</t>
  </si>
  <si>
    <t>9592 Lakewood Street</t>
  </si>
  <si>
    <t>ibreache2k@is.gd</t>
  </si>
  <si>
    <t>714-6238</t>
  </si>
  <si>
    <t>814-4004</t>
  </si>
  <si>
    <t>19/02/1983</t>
  </si>
  <si>
    <t>4637 Artisan Court</t>
  </si>
  <si>
    <t>skewish2l@dedecms.com</t>
  </si>
  <si>
    <t>8-321-908-7730</t>
  </si>
  <si>
    <t>781-6520</t>
  </si>
  <si>
    <t>02/04/1981</t>
  </si>
  <si>
    <t>57910 Coolidge Circle</t>
  </si>
  <si>
    <t>ngoodby2m@bigcartel.com</t>
  </si>
  <si>
    <t>563-2292</t>
  </si>
  <si>
    <t>3-876-683-8148</t>
  </si>
  <si>
    <t>18/01/1980</t>
  </si>
  <si>
    <t>0 American Park</t>
  </si>
  <si>
    <t>zfensome2n@forbes.com</t>
  </si>
  <si>
    <t>1-113-988-2169</t>
  </si>
  <si>
    <t>5-318-913-5930</t>
  </si>
  <si>
    <t>31/07/1984</t>
  </si>
  <si>
    <t>31976 Parkside Avenue</t>
  </si>
  <si>
    <t>cbatteson2o@mashable.com</t>
  </si>
  <si>
    <t>661-2048</t>
  </si>
  <si>
    <t>2-851-374-3206</t>
  </si>
  <si>
    <t>25/12/1982</t>
  </si>
  <si>
    <t>8 Dryden Alley</t>
  </si>
  <si>
    <t>aloker2p@independent.co.uk</t>
  </si>
  <si>
    <t>6-429-703-0745</t>
  </si>
  <si>
    <t>540-3176</t>
  </si>
  <si>
    <t>17/10/1991</t>
  </si>
  <si>
    <t>249 Leroy Park</t>
  </si>
  <si>
    <t>stwiggins2q@etsy.com</t>
  </si>
  <si>
    <t>7-883-266-3080</t>
  </si>
  <si>
    <t>9-503-746-2073</t>
  </si>
  <si>
    <t>23/10/1976</t>
  </si>
  <si>
    <t>70 Carpenter Hill</t>
  </si>
  <si>
    <t>bbarker2r@istockphoto.com</t>
  </si>
  <si>
    <t>414-3871</t>
  </si>
  <si>
    <t>465-5291</t>
  </si>
  <si>
    <t>16/04/1988</t>
  </si>
  <si>
    <t>125 Hagan Point</t>
  </si>
  <si>
    <t>hbarensen2s@github.com</t>
  </si>
  <si>
    <t>804-5580</t>
  </si>
  <si>
    <t>511-3571</t>
  </si>
  <si>
    <t>24/12/1975</t>
  </si>
  <si>
    <t>719 Shopko Terrace</t>
  </si>
  <si>
    <t>cenrigo2t@hp.com</t>
  </si>
  <si>
    <t>8-680-799-9157</t>
  </si>
  <si>
    <t>914-6783</t>
  </si>
  <si>
    <t>24/03/1997</t>
  </si>
  <si>
    <t>46915 Towne Crossing</t>
  </si>
  <si>
    <t>apacey2u@mapquest.com</t>
  </si>
  <si>
    <t>5-442-614-0545</t>
  </si>
  <si>
    <t>5-497-308-9534</t>
  </si>
  <si>
    <t>30/04/1982</t>
  </si>
  <si>
    <t>28463 Hauk Pass</t>
  </si>
  <si>
    <t>egallo2v@trellian.com</t>
  </si>
  <si>
    <t>5-450-151-6228</t>
  </si>
  <si>
    <t>873-3212</t>
  </si>
  <si>
    <t>10/01/1988</t>
  </si>
  <si>
    <t>670 Alpine Alley</t>
  </si>
  <si>
    <t>hodoran2w@github.io</t>
  </si>
  <si>
    <t>4-766-414-6404</t>
  </si>
  <si>
    <t>233-0415</t>
  </si>
  <si>
    <t>28/10/1977</t>
  </si>
  <si>
    <t>149 Kings Avenue</t>
  </si>
  <si>
    <t>nderbyshire2x@wikimedia.org</t>
  </si>
  <si>
    <t>8-609-829-7379</t>
  </si>
  <si>
    <t>1-344-386-8754</t>
  </si>
  <si>
    <t>30/05/1997</t>
  </si>
  <si>
    <t>3 Eggendart Place</t>
  </si>
  <si>
    <t>ddegregoli2y@youku.com</t>
  </si>
  <si>
    <t>3-225-560-5698</t>
  </si>
  <si>
    <t>9-201-687-2164</t>
  </si>
  <si>
    <t>21/03/1994</t>
  </si>
  <si>
    <t>545 Starling Court</t>
  </si>
  <si>
    <t>swoodison2z@jiathis.com</t>
  </si>
  <si>
    <t>1-556-110-5575</t>
  </si>
  <si>
    <t>3-181-103-0943</t>
  </si>
  <si>
    <t>01/08/2002</t>
  </si>
  <si>
    <t>5 Crownhardt Drive</t>
  </si>
  <si>
    <t>mcoon30@cnn.com</t>
  </si>
  <si>
    <t>5-646-598-1091</t>
  </si>
  <si>
    <t>5-592-856-5003</t>
  </si>
  <si>
    <t>03/01/1989</t>
  </si>
  <si>
    <t>09172 Oak Valley Junction</t>
  </si>
  <si>
    <t>gtabour31@blog.com</t>
  </si>
  <si>
    <t>929-4421</t>
  </si>
  <si>
    <t>419-8525</t>
  </si>
  <si>
    <t>12/05/1994</t>
  </si>
  <si>
    <t>22 Eastlawn Park</t>
  </si>
  <si>
    <t>lchittie32@i2i.jp</t>
  </si>
  <si>
    <t>737-1554</t>
  </si>
  <si>
    <t>605-6166</t>
  </si>
  <si>
    <t>14/01/1987</t>
  </si>
  <si>
    <t>7 Emmet Drive</t>
  </si>
  <si>
    <t>jwillment33@livejournal.com</t>
  </si>
  <si>
    <t>6-830-887-4855</t>
  </si>
  <si>
    <t>2-170-752-8794</t>
  </si>
  <si>
    <t>25/04/1993</t>
  </si>
  <si>
    <t>8853 Moland Circle</t>
  </si>
  <si>
    <t>ldomican34@weibo.com</t>
  </si>
  <si>
    <t>405-0250</t>
  </si>
  <si>
    <t>7-640-140-7463</t>
  </si>
  <si>
    <t>10/02/1999</t>
  </si>
  <si>
    <t>48 Hanson Park</t>
  </si>
  <si>
    <t>hpaddock35@comcast.net</t>
  </si>
  <si>
    <t>354-0501</t>
  </si>
  <si>
    <t>1-141-565-1119</t>
  </si>
  <si>
    <t>04/09/1982</t>
  </si>
  <si>
    <t>81970 Pine View Court</t>
  </si>
  <si>
    <t>blidgerton36@baidu.com</t>
  </si>
  <si>
    <t>647-5092</t>
  </si>
  <si>
    <t>0-331-316-3189</t>
  </si>
  <si>
    <t>28/06/1976</t>
  </si>
  <si>
    <t>620 Bartelt Trail</t>
  </si>
  <si>
    <t>jscattergood37@mapquest.com</t>
  </si>
  <si>
    <t>616-5285</t>
  </si>
  <si>
    <t>540-9550</t>
  </si>
  <si>
    <t>18/05/1990</t>
  </si>
  <si>
    <t>81133 Barnett Court</t>
  </si>
  <si>
    <t>apieche38@businessinsider.com</t>
  </si>
  <si>
    <t>8-218-675-9742</t>
  </si>
  <si>
    <t>4-972-943-7299</t>
  </si>
  <si>
    <t>26/08/2002</t>
  </si>
  <si>
    <t>5314 Gateway Trail</t>
  </si>
  <si>
    <t>sbraemer39@quantcast.com</t>
  </si>
  <si>
    <t>341-2680</t>
  </si>
  <si>
    <t>558-2988</t>
  </si>
  <si>
    <t>10/12/1989</t>
  </si>
  <si>
    <t>48 Oak Point</t>
  </si>
  <si>
    <t>mblaxlande3a@studiopress.com</t>
  </si>
  <si>
    <t>763-7211</t>
  </si>
  <si>
    <t>0-556-400-0224</t>
  </si>
  <si>
    <t>30/06/1990</t>
  </si>
  <si>
    <t>4 Huxley Trail</t>
  </si>
  <si>
    <t>mseignior3b@shareasale.com</t>
  </si>
  <si>
    <t>6-412-758-8338</t>
  </si>
  <si>
    <t>114-1367</t>
  </si>
  <si>
    <t>Quality Assurance</t>
  </si>
  <si>
    <t>07/08/2001</t>
  </si>
  <si>
    <t>884 Morning Junction</t>
  </si>
  <si>
    <t>msember3c@slate.com</t>
  </si>
  <si>
    <t>248-9002</t>
  </si>
  <si>
    <t>264-6538</t>
  </si>
  <si>
    <t>25/07/1978</t>
  </si>
  <si>
    <t>9 Monterey Circle</t>
  </si>
  <si>
    <t>psisnett3d@noaa.gov</t>
  </si>
  <si>
    <t>4-452-662-1608</t>
  </si>
  <si>
    <t>746-2758</t>
  </si>
  <si>
    <t>05/11/1981</t>
  </si>
  <si>
    <t>0498 Mallory Pass</t>
  </si>
  <si>
    <t>lbelchem3e@ocn.ne.jp</t>
  </si>
  <si>
    <t>3-187-608-6704</t>
  </si>
  <si>
    <t>973-2511</t>
  </si>
  <si>
    <t>23/08/1997</t>
  </si>
  <si>
    <t>5 Utah Street</t>
  </si>
  <si>
    <t>nhardington3f@webeden.co.uk</t>
  </si>
  <si>
    <t>515-8705</t>
  </si>
  <si>
    <t>7-986-447-0501</t>
  </si>
  <si>
    <t>12/12/1980</t>
  </si>
  <si>
    <t>1 Cherokee Alley</t>
  </si>
  <si>
    <t>coheyne3g@hhs.gov</t>
  </si>
  <si>
    <t>7-939-774-3238</t>
  </si>
  <si>
    <t>0-328-565-8426</t>
  </si>
  <si>
    <t>21/03/1981</t>
  </si>
  <si>
    <t>89602 Judy Crossing</t>
  </si>
  <si>
    <t>lmacfadin3h@slate.com</t>
  </si>
  <si>
    <t>8-551-929-8954</t>
  </si>
  <si>
    <t>307-1932</t>
  </si>
  <si>
    <t>23/11/1996</t>
  </si>
  <si>
    <t>7957 Dwight Parkway</t>
  </si>
  <si>
    <t>mbalcombe3i@bloglines.com</t>
  </si>
  <si>
    <t>9-940-321-0506</t>
  </si>
  <si>
    <t>808-4953</t>
  </si>
  <si>
    <t>16/04/1980</t>
  </si>
  <si>
    <t>071 Butternut Trail</t>
  </si>
  <si>
    <t>hsandifer3j@mayoclinic.com</t>
  </si>
  <si>
    <t>265-9890</t>
  </si>
  <si>
    <t>322-3377</t>
  </si>
  <si>
    <t>07/08/1993</t>
  </si>
  <si>
    <t>81147 Manley Alley</t>
  </si>
  <si>
    <t>aroseveare3k@buzzfeed.com</t>
  </si>
  <si>
    <t>6-550-317-7063</t>
  </si>
  <si>
    <t>331-3182</t>
  </si>
  <si>
    <t>30/04/1977</t>
  </si>
  <si>
    <t>34405 Bluejay Lane</t>
  </si>
  <si>
    <t>hcastro3l@plala.or.jp</t>
  </si>
  <si>
    <t>4-274-256-4079</t>
  </si>
  <si>
    <t>951-3787</t>
  </si>
  <si>
    <t>23/02/1986</t>
  </si>
  <si>
    <t>7320 Thompson Junction</t>
  </si>
  <si>
    <t>mgoodlatt3m@prweb.com</t>
  </si>
  <si>
    <t>1-888-152-4755</t>
  </si>
  <si>
    <t>7-379-436-7001</t>
  </si>
  <si>
    <t>03/02/1981</t>
  </si>
  <si>
    <t>71 Pond Place</t>
  </si>
  <si>
    <t>nabazi3n@ustream.tv</t>
  </si>
  <si>
    <t>899-3741</t>
  </si>
  <si>
    <t>754-1297</t>
  </si>
  <si>
    <t>08/10/1987</t>
  </si>
  <si>
    <t>31 Elmside Place</t>
  </si>
  <si>
    <t>ndutnell3o@examiner.com</t>
  </si>
  <si>
    <t>680-0860</t>
  </si>
  <si>
    <t>5-424-363-4671</t>
  </si>
  <si>
    <t>11/11/1980</t>
  </si>
  <si>
    <t>4056 Swallow Place</t>
  </si>
  <si>
    <t>pstarbucke3p@sina.com.cn</t>
  </si>
  <si>
    <t>952-1938</t>
  </si>
  <si>
    <t>3-627-174-0374</t>
  </si>
  <si>
    <t>23/08/1984</t>
  </si>
  <si>
    <t>85 Mccormick Road</t>
  </si>
  <si>
    <t>mrehorek3q@theguardian.com</t>
  </si>
  <si>
    <t>5-849-755-6669</t>
  </si>
  <si>
    <t>341-6339</t>
  </si>
  <si>
    <t>26/03/1977</t>
  </si>
  <si>
    <t>380 Fremont Crossing</t>
  </si>
  <si>
    <t>efraney3r@elpais.com</t>
  </si>
  <si>
    <t>692-0810</t>
  </si>
  <si>
    <t>7-913-827-1643</t>
  </si>
  <si>
    <t>08/12/1977</t>
  </si>
  <si>
    <t>5 Lindbergh Center</t>
  </si>
  <si>
    <t>gbolsover3s@imgur.com</t>
  </si>
  <si>
    <t>7-825-162-5147</t>
  </si>
  <si>
    <t>404-9868</t>
  </si>
  <si>
    <t>09/01/1983</t>
  </si>
  <si>
    <t>4719 Lindbergh Crossing</t>
  </si>
  <si>
    <t>gkares3t@unicef.org</t>
  </si>
  <si>
    <t>306-4767</t>
  </si>
  <si>
    <t>987-7552</t>
  </si>
  <si>
    <t>24/11/1976</t>
  </si>
  <si>
    <t>1244 Londonderry Point</t>
  </si>
  <si>
    <t>clavigne3u@posterous.com</t>
  </si>
  <si>
    <t>399-2036</t>
  </si>
  <si>
    <t>106-3039</t>
  </si>
  <si>
    <t>13/07/1981</t>
  </si>
  <si>
    <t>25463 Pine View Crossing</t>
  </si>
  <si>
    <t>eesselen3v@japanpost.jp</t>
  </si>
  <si>
    <t>7-124-405-6670</t>
  </si>
  <si>
    <t>0-536-292-9040</t>
  </si>
  <si>
    <t>Operational</t>
  </si>
  <si>
    <t>12/07/1982</t>
  </si>
  <si>
    <t>372 Morning Point</t>
  </si>
  <si>
    <t>eottam3w@marriott.com</t>
  </si>
  <si>
    <t>306-3171</t>
  </si>
  <si>
    <t>8-966-326-6395</t>
  </si>
  <si>
    <t>14/02/1997</t>
  </si>
  <si>
    <t>4636 Southridge Lane</t>
  </si>
  <si>
    <t>cgoucher3x@seattletimes.com</t>
  </si>
  <si>
    <t>270-5349</t>
  </si>
  <si>
    <t>498-4127</t>
  </si>
  <si>
    <t>09/08/1988</t>
  </si>
  <si>
    <t>6808 Chive Way</t>
  </si>
  <si>
    <t>rgrinham3y@hao123.com</t>
  </si>
  <si>
    <t>623-1470</t>
  </si>
  <si>
    <t>221-3559</t>
  </si>
  <si>
    <t>18/03/1999</t>
  </si>
  <si>
    <t>5 Summerview Hill</t>
  </si>
  <si>
    <t>brheam3z@msu.edu</t>
  </si>
  <si>
    <t>8-157-849-8312</t>
  </si>
  <si>
    <t>6-730-545-9844</t>
  </si>
  <si>
    <t>06/03/1987</t>
  </si>
  <si>
    <t>6135 Stang Crossing</t>
  </si>
  <si>
    <t>dwhereat40@ucla.edu</t>
  </si>
  <si>
    <t>645-6039</t>
  </si>
  <si>
    <t>178-6576</t>
  </si>
  <si>
    <t>15/02/1976</t>
  </si>
  <si>
    <t>9198 Lukken Point</t>
  </si>
  <si>
    <t>bcapner41@auda.org.au</t>
  </si>
  <si>
    <t>4-712-704-4026</t>
  </si>
  <si>
    <t>2-869-237-4312</t>
  </si>
  <si>
    <t>02/10/1985</t>
  </si>
  <si>
    <t>3536 Helena Road</t>
  </si>
  <si>
    <t>mgiovani42@illinois.edu</t>
  </si>
  <si>
    <t>4-780-656-2762</t>
  </si>
  <si>
    <t>918-3038</t>
  </si>
  <si>
    <t>01/07/2002</t>
  </si>
  <si>
    <t>5 New Castle Avenue</t>
  </si>
  <si>
    <t>cnursey43@yale.edu</t>
  </si>
  <si>
    <t>723-2406</t>
  </si>
  <si>
    <t>7-410-806-8392</t>
  </si>
  <si>
    <t>05/05/1985</t>
  </si>
  <si>
    <t>4839 Holmberg Pass</t>
  </si>
  <si>
    <t>lbessom44@ezinearticles.com</t>
  </si>
  <si>
    <t>1-215-771-5737</t>
  </si>
  <si>
    <t>386-0253</t>
  </si>
  <si>
    <t>02/02/2002</t>
  </si>
  <si>
    <t>3 Valley Edge Trail</t>
  </si>
  <si>
    <t>gedeson45@boston.com</t>
  </si>
  <si>
    <t>8-906-166-2931</t>
  </si>
  <si>
    <t>871-9093</t>
  </si>
  <si>
    <t>28/08/1985</t>
  </si>
  <si>
    <t>32278 Crownhardt Parkway</t>
  </si>
  <si>
    <t>boroan46@histats.com</t>
  </si>
  <si>
    <t>184-0996</t>
  </si>
  <si>
    <t>114-0218</t>
  </si>
  <si>
    <t>14/05/1993</t>
  </si>
  <si>
    <t>28092 Stone Corner Road</t>
  </si>
  <si>
    <t>vtomet47@list-manage.com</t>
  </si>
  <si>
    <t>1-466-751-8828</t>
  </si>
  <si>
    <t>638-8615</t>
  </si>
  <si>
    <t>21/06/1995</t>
  </si>
  <si>
    <t>3 Logan Way</t>
  </si>
  <si>
    <t>rcottrell48@ow.ly</t>
  </si>
  <si>
    <t>169-6827</t>
  </si>
  <si>
    <t>690-3299</t>
  </si>
  <si>
    <t>11/09/1991</t>
  </si>
  <si>
    <t>328 1st Avenue</t>
  </si>
  <si>
    <t>rmeachen49@dyndns.org</t>
  </si>
  <si>
    <t>823-2447</t>
  </si>
  <si>
    <t>380-7529</t>
  </si>
  <si>
    <t>05/12/1999</t>
  </si>
  <si>
    <t>9655 Doe Crossing Pass</t>
  </si>
  <si>
    <t>mmossom4a@about.me</t>
  </si>
  <si>
    <t>7-437-680-6154</t>
  </si>
  <si>
    <t>4-427-763-5363</t>
  </si>
  <si>
    <t>07/09/1984</t>
  </si>
  <si>
    <t>2488 Anderson Circle</t>
  </si>
  <si>
    <t>nford4b@typepad.com</t>
  </si>
  <si>
    <t>605-6904</t>
  </si>
  <si>
    <t>702-4850</t>
  </si>
  <si>
    <t>02/10/2001</t>
  </si>
  <si>
    <t>0692 Eastlawn Trail</t>
  </si>
  <si>
    <t>srosenfield4c@cyberchimps.com</t>
  </si>
  <si>
    <t>982-3259</t>
  </si>
  <si>
    <t>6-299-851-1592</t>
  </si>
  <si>
    <t>07/02/1994</t>
  </si>
  <si>
    <t>31088 Dixon Terrace</t>
  </si>
  <si>
    <t>bhuggett4d@discuz.net</t>
  </si>
  <si>
    <t>236-3716</t>
  </si>
  <si>
    <t>187-7017</t>
  </si>
  <si>
    <t>16/11/1975</t>
  </si>
  <si>
    <t>3 Bultman Drive</t>
  </si>
  <si>
    <t>dortmann4e@yelp.com</t>
  </si>
  <si>
    <t>255-6516</t>
  </si>
  <si>
    <t>904-3374</t>
  </si>
  <si>
    <t>24/04/1996</t>
  </si>
  <si>
    <t>92495 Crescent Oaks Place</t>
  </si>
  <si>
    <t>darro4f@harvard.edu</t>
  </si>
  <si>
    <t>958-7711</t>
  </si>
  <si>
    <t>6-752-918-9485</t>
  </si>
  <si>
    <t>05/02/1987</t>
  </si>
  <si>
    <t>8476 Gina Way</t>
  </si>
  <si>
    <t>vthys4g@youtube.com</t>
  </si>
  <si>
    <t>526-1175</t>
  </si>
  <si>
    <t>241-4565</t>
  </si>
  <si>
    <t>24/09/2001</t>
  </si>
  <si>
    <t>4 Johnson Parkway</t>
  </si>
  <si>
    <t>nleverett4h@ask.com</t>
  </si>
  <si>
    <t>167-4517</t>
  </si>
  <si>
    <t>1-377-857-2275</t>
  </si>
  <si>
    <t>04/03/1979</t>
  </si>
  <si>
    <t>0798 Vera Crossing</t>
  </si>
  <si>
    <t>dham4i@arizona.edu</t>
  </si>
  <si>
    <t>6-380-815-1447</t>
  </si>
  <si>
    <t>455-0616</t>
  </si>
  <si>
    <t>02/01/1990</t>
  </si>
  <si>
    <t>4685 Onsgard Avenue</t>
  </si>
  <si>
    <t>okennewell4j@woothemes.com</t>
  </si>
  <si>
    <t>1-935-288-1199</t>
  </si>
  <si>
    <t>896-9036</t>
  </si>
  <si>
    <t>05/05/1987</t>
  </si>
  <si>
    <t>05 Bultman Place</t>
  </si>
  <si>
    <t>zdyett4k@ow.ly</t>
  </si>
  <si>
    <t>8-749-996-9247</t>
  </si>
  <si>
    <t>313-0994</t>
  </si>
  <si>
    <t>10/12/1982</t>
  </si>
  <si>
    <t>858 6th Circle</t>
  </si>
  <si>
    <t>pglassman4l@cnbc.com</t>
  </si>
  <si>
    <t>422-8223</t>
  </si>
  <si>
    <t>7-475-539-5364</t>
  </si>
  <si>
    <t>25/02/1988</t>
  </si>
  <si>
    <t>1815 Dexter Way</t>
  </si>
  <si>
    <t>mgiacaponi4m@is.gd</t>
  </si>
  <si>
    <t>927-9259</t>
  </si>
  <si>
    <t>242-6144</t>
  </si>
  <si>
    <t>06/05/1995</t>
  </si>
  <si>
    <t>8173 Stephen Trail</t>
  </si>
  <si>
    <t>bhillan4n@wufoo.com</t>
  </si>
  <si>
    <t>5-501-485-3985</t>
  </si>
  <si>
    <t>398-4578</t>
  </si>
  <si>
    <t>20/08/1988</t>
  </si>
  <si>
    <t>39 Shopko Hill</t>
  </si>
  <si>
    <t>cmcgeneay4o@mysql.com</t>
  </si>
  <si>
    <t>564-5983</t>
  </si>
  <si>
    <t>2-815-952-9886</t>
  </si>
  <si>
    <t>19/02/1981</t>
  </si>
  <si>
    <t>7023 Anderson Point</t>
  </si>
  <si>
    <t>reakeley4p@icio.us</t>
  </si>
  <si>
    <t>8-239-936-8009</t>
  </si>
  <si>
    <t>366-7672</t>
  </si>
  <si>
    <t>10/02/1993</t>
  </si>
  <si>
    <t>3 Eagan Way</t>
  </si>
  <si>
    <t>malvey4q@mail.ru</t>
  </si>
  <si>
    <t>109-5769</t>
  </si>
  <si>
    <t>0-517-527-9909</t>
  </si>
  <si>
    <t>01/09/1994</t>
  </si>
  <si>
    <t>2807 Fordem Street</t>
  </si>
  <si>
    <t>smatushevich4r@stumbleupon.com</t>
  </si>
  <si>
    <t>768-6442</t>
  </si>
  <si>
    <t>6-224-876-8567</t>
  </si>
  <si>
    <t>29/06/1997</t>
  </si>
  <si>
    <t>3462 Holmberg Court</t>
  </si>
  <si>
    <t>siglesias4s@gmpg.org</t>
  </si>
  <si>
    <t>441-1536</t>
  </si>
  <si>
    <t>0-549-979-4786</t>
  </si>
  <si>
    <t>23/09/1998</t>
  </si>
  <si>
    <t>4 Muir Crossing</t>
  </si>
  <si>
    <t>sjellicorse4t@discovery.com</t>
  </si>
  <si>
    <t>693-5993</t>
  </si>
  <si>
    <t>323-2815</t>
  </si>
  <si>
    <t>19/10/1997</t>
  </si>
  <si>
    <t>7 Esch Circle</t>
  </si>
  <si>
    <t>mlodin4u@google.es</t>
  </si>
  <si>
    <t>6-881-965-8675</t>
  </si>
  <si>
    <t>726-0973</t>
  </si>
  <si>
    <t xml:space="preserve">Marketing </t>
  </si>
  <si>
    <t>11/04/1988</t>
  </si>
  <si>
    <t>9163 Heath Plaza</t>
  </si>
  <si>
    <t>ctebald4v@posterous.com</t>
  </si>
  <si>
    <t>189-1762</t>
  </si>
  <si>
    <t>816-3588</t>
  </si>
  <si>
    <t>26/09/1993</t>
  </si>
  <si>
    <t>05779 Banding Center</t>
  </si>
  <si>
    <t>jalbisser4w@simplemachines.org</t>
  </si>
  <si>
    <t>4-533-782-3479</t>
  </si>
  <si>
    <t>939-7882</t>
  </si>
  <si>
    <t>08/03/1978</t>
  </si>
  <si>
    <t>6520 Lawn Way</t>
  </si>
  <si>
    <t>mlayhe4x@squidoo.com</t>
  </si>
  <si>
    <t>672-6030</t>
  </si>
  <si>
    <t>940-3136</t>
  </si>
  <si>
    <t>01/07/1977</t>
  </si>
  <si>
    <t>586 Valley Edge Park</t>
  </si>
  <si>
    <t>sdollin4y@ovh.net</t>
  </si>
  <si>
    <t>327-5343</t>
  </si>
  <si>
    <t>6-672-250-2000</t>
  </si>
  <si>
    <t>24/05/2001</t>
  </si>
  <si>
    <t>853 High Crossing Pass</t>
  </si>
  <si>
    <t>agiovanardi4z@skyrock.com</t>
  </si>
  <si>
    <t>709-2788</t>
  </si>
  <si>
    <t>183-6291</t>
  </si>
  <si>
    <t>18/04/1982</t>
  </si>
  <si>
    <t>5333 Arizona Junction</t>
  </si>
  <si>
    <t>mbatterbee50@pagesperso-orange.fr</t>
  </si>
  <si>
    <t>465-6601</t>
  </si>
  <si>
    <t>0-408-647-6120</t>
  </si>
  <si>
    <t>13/12/1975</t>
  </si>
  <si>
    <t>68775 Rowland Point</t>
  </si>
  <si>
    <t>bhughland51@unicef.org</t>
  </si>
  <si>
    <t>128-3885</t>
  </si>
  <si>
    <t>185-5003</t>
  </si>
  <si>
    <t>14/11/2000</t>
  </si>
  <si>
    <t>2 Golf Course Place</t>
  </si>
  <si>
    <t>gkemwall52@sitemeter.com</t>
  </si>
  <si>
    <t>813-5615</t>
  </si>
  <si>
    <t>524-2487</t>
  </si>
  <si>
    <t>23/03/2000</t>
  </si>
  <si>
    <t>290 Nelson Park</t>
  </si>
  <si>
    <t>sdelagua53@blinklist.com</t>
  </si>
  <si>
    <t>2-575-824-0270</t>
  </si>
  <si>
    <t>596-9803</t>
  </si>
  <si>
    <t>05/02/1976</t>
  </si>
  <si>
    <t>7437 Lukken Junction</t>
  </si>
  <si>
    <t>gjoselson54@4shared.com</t>
  </si>
  <si>
    <t>172-4358</t>
  </si>
  <si>
    <t>465-4010</t>
  </si>
  <si>
    <t>20/09/1977</t>
  </si>
  <si>
    <t>6530 Green Ridge Alley</t>
  </si>
  <si>
    <t>bbiskupski55@sun.com</t>
  </si>
  <si>
    <t>267-3049</t>
  </si>
  <si>
    <t>938-7399</t>
  </si>
  <si>
    <t>01/01/1978</t>
  </si>
  <si>
    <t>74 Cottonwood Hill</t>
  </si>
  <si>
    <t>adoolan56@usgs.gov</t>
  </si>
  <si>
    <t>311-1517</t>
  </si>
  <si>
    <t>8-909-393-9003</t>
  </si>
  <si>
    <t>20/09/1982</t>
  </si>
  <si>
    <t>30950 Hoard Court</t>
  </si>
  <si>
    <t>cludvigsen57@businesswire.com</t>
  </si>
  <si>
    <t>147-9174</t>
  </si>
  <si>
    <t>3-243-992-5519</t>
  </si>
  <si>
    <t>25/02/1991</t>
  </si>
  <si>
    <t>3 Granby Park</t>
  </si>
  <si>
    <t>yrearie58@google.com.hk</t>
  </si>
  <si>
    <t>8-256-349-8324</t>
  </si>
  <si>
    <t>681-0314</t>
  </si>
  <si>
    <t>20/07/1983</t>
  </si>
  <si>
    <t>16 Summit Circle</t>
  </si>
  <si>
    <t>jchazelas59@weibo.com</t>
  </si>
  <si>
    <t>5-534-865-3357</t>
  </si>
  <si>
    <t>4-892-282-0847</t>
  </si>
  <si>
    <t>10/08/1986</t>
  </si>
  <si>
    <t>60 Maple Crossing</t>
  </si>
  <si>
    <t>sgirardet5a@foxnews.com</t>
  </si>
  <si>
    <t>654-1024</t>
  </si>
  <si>
    <t>3-830-622-3305</t>
  </si>
  <si>
    <t>13/01/1982</t>
  </si>
  <si>
    <t>46 High Crossing Drive</t>
  </si>
  <si>
    <t>ndeavin5b@uiuc.edu</t>
  </si>
  <si>
    <t>0-574-818-8084</t>
  </si>
  <si>
    <t>6-112-368-8532</t>
  </si>
  <si>
    <t>10/03/2000</t>
  </si>
  <si>
    <t>38 Scoville Crossing</t>
  </si>
  <si>
    <t>abratcher5c@naver.com</t>
  </si>
  <si>
    <t>543-5565</t>
  </si>
  <si>
    <t>224-3254</t>
  </si>
  <si>
    <t>23/11/1979</t>
  </si>
  <si>
    <t>34131 Scoville Crossing</t>
  </si>
  <si>
    <t>htuftin5d@chron.com</t>
  </si>
  <si>
    <t>617-4604</t>
  </si>
  <si>
    <t>955-3954</t>
  </si>
  <si>
    <t>07/06/2001</t>
  </si>
  <si>
    <t>2 Hudson Alley</t>
  </si>
  <si>
    <t>ggrivori5e@opera.com</t>
  </si>
  <si>
    <t>6-948-469-4826</t>
  </si>
  <si>
    <t>128-5235</t>
  </si>
  <si>
    <t>15/09/1992</t>
  </si>
  <si>
    <t>10 Sherman Street</t>
  </si>
  <si>
    <t>madamov5f@1688.com</t>
  </si>
  <si>
    <t>6-498-850-7075</t>
  </si>
  <si>
    <t>405-6887</t>
  </si>
  <si>
    <t>03/09/1981</t>
  </si>
  <si>
    <t>3082 Bonner Circle</t>
  </si>
  <si>
    <t>hperschke5g@hao123.com</t>
  </si>
  <si>
    <t>2-781-962-5679</t>
  </si>
  <si>
    <t>723-4388</t>
  </si>
  <si>
    <t>13/07/1998</t>
  </si>
  <si>
    <t>6 La Follette Alley</t>
  </si>
  <si>
    <t>cgalvan5h@shareasale.com</t>
  </si>
  <si>
    <t>456-1866</t>
  </si>
  <si>
    <t>2-136-869-8582</t>
  </si>
  <si>
    <t>04/10/1986</t>
  </si>
  <si>
    <t>751 Blackbird Drive</t>
  </si>
  <si>
    <t>ochown5i@cbsnews.com</t>
  </si>
  <si>
    <t>749-2656</t>
  </si>
  <si>
    <t>419-6394</t>
  </si>
  <si>
    <t>13/12/1985</t>
  </si>
  <si>
    <t>6174 Hintze Junction</t>
  </si>
  <si>
    <t>ibartoszek5j@apple.com</t>
  </si>
  <si>
    <t>3-480-367-0859</t>
  </si>
  <si>
    <t>3-807-275-0061</t>
  </si>
  <si>
    <t>02/05/1981</t>
  </si>
  <si>
    <t>619 Surrey Junction</t>
  </si>
  <si>
    <t>bpounds5k@craigslist.org</t>
  </si>
  <si>
    <t>8-966-955-3145</t>
  </si>
  <si>
    <t>802-4904</t>
  </si>
  <si>
    <t>24/12/1986</t>
  </si>
  <si>
    <t>271 Lighthouse Bay Crossing</t>
  </si>
  <si>
    <t>arainville5l@alexa.com</t>
  </si>
  <si>
    <t>650-6059</t>
  </si>
  <si>
    <t>4-819-524-8882</t>
  </si>
  <si>
    <t>07/01/1998</t>
  </si>
  <si>
    <t>81813 Atwood Lane</t>
  </si>
  <si>
    <t>meberts5m@mediafire.com</t>
  </si>
  <si>
    <t>7-320-219-8956</t>
  </si>
  <si>
    <t>405-3939</t>
  </si>
  <si>
    <t>17/04/1998</t>
  </si>
  <si>
    <t>0 Arkansas Plaza</t>
  </si>
  <si>
    <t>iventum5n@dedecms.com</t>
  </si>
  <si>
    <t>755-6578</t>
  </si>
  <si>
    <t>6-771-565-4284</t>
  </si>
  <si>
    <t>25/01/2001</t>
  </si>
  <si>
    <t>91 Hallows Plaza</t>
  </si>
  <si>
    <t>jleneve5o@bbb.org</t>
  </si>
  <si>
    <t>688-5210</t>
  </si>
  <si>
    <t>8-308-695-3240</t>
  </si>
  <si>
    <t>30/06/1999</t>
  </si>
  <si>
    <t>668 Upham Alley</t>
  </si>
  <si>
    <t>cwhitwam5p@huffingtonpost.com</t>
  </si>
  <si>
    <t>0-493-772-2671</t>
  </si>
  <si>
    <t>613-3906</t>
  </si>
  <si>
    <t>01/07/1979</t>
  </si>
  <si>
    <t>87583 Dryden Trail</t>
  </si>
  <si>
    <t>voswell5q@ucoz.com</t>
  </si>
  <si>
    <t>6-581-203-7806</t>
  </si>
  <si>
    <t>6-176-586-4050</t>
  </si>
  <si>
    <t>3 Russell Trail</t>
  </si>
  <si>
    <t>dtisun5r@google.com.hk</t>
  </si>
  <si>
    <t>9-404-736-1568</t>
  </si>
  <si>
    <t>211-2006</t>
  </si>
  <si>
    <t>06/08/1982</t>
  </si>
  <si>
    <t>0 Morning Place</t>
  </si>
  <si>
    <t>jwickins5s@woothemes.com</t>
  </si>
  <si>
    <t>617-7280</t>
  </si>
  <si>
    <t>482-6586</t>
  </si>
  <si>
    <t>13/09/1992</t>
  </si>
  <si>
    <t>4433 Oriole Court</t>
  </si>
  <si>
    <t>mozelton5t@theguardian.com</t>
  </si>
  <si>
    <t>809-4555</t>
  </si>
  <si>
    <t>225-3508</t>
  </si>
  <si>
    <t>08/09/1998</t>
  </si>
  <si>
    <t>00 Mcbride Parkway</t>
  </si>
  <si>
    <t>mfeldhuhn5u@istockphoto.com</t>
  </si>
  <si>
    <t>969-7554</t>
  </si>
  <si>
    <t>724-5651</t>
  </si>
  <si>
    <t>28/04/1980</t>
  </si>
  <si>
    <t>6085 Debs Trail</t>
  </si>
  <si>
    <t>blutty5v@comcast.net</t>
  </si>
  <si>
    <t>263-6358</t>
  </si>
  <si>
    <t>0-117-703-3435</t>
  </si>
  <si>
    <t>26/05/1984</t>
  </si>
  <si>
    <t>0 Starling Plaza</t>
  </si>
  <si>
    <t>chuccaby5w@wired.com</t>
  </si>
  <si>
    <t>213-5284</t>
  </si>
  <si>
    <t>7-190-264-8331</t>
  </si>
  <si>
    <t>13/04/1999</t>
  </si>
  <si>
    <t>1 Elmside Point</t>
  </si>
  <si>
    <t>fgreveson5x@pcworld.com</t>
  </si>
  <si>
    <t>924-9082</t>
  </si>
  <si>
    <t>363-1788</t>
  </si>
  <si>
    <t>24/12/1976</t>
  </si>
  <si>
    <t>8719 Westerfield Parkway</t>
  </si>
  <si>
    <t>abruggen5y@arizona.edu</t>
  </si>
  <si>
    <t>3-590-242-2129</t>
  </si>
  <si>
    <t>455-6271</t>
  </si>
  <si>
    <t>05/05/1981</t>
  </si>
  <si>
    <t>1 Superior Point</t>
  </si>
  <si>
    <t>bdarkott5z@time.com</t>
  </si>
  <si>
    <t>7-740-209-0188</t>
  </si>
  <si>
    <t>404-0418</t>
  </si>
  <si>
    <t>18/12/1995</t>
  </si>
  <si>
    <t>5 Clyde Gallagher Road</t>
  </si>
  <si>
    <t>gsmithyman60@oaic.gov.au</t>
  </si>
  <si>
    <t>190-4089</t>
  </si>
  <si>
    <t>815-4312</t>
  </si>
  <si>
    <t>08/09/1977</t>
  </si>
  <si>
    <t>84 Tennyson Plaza</t>
  </si>
  <si>
    <t>whillett61@is.gd</t>
  </si>
  <si>
    <t>240-3865</t>
  </si>
  <si>
    <t>9-964-976-3807</t>
  </si>
  <si>
    <t>19/03/1977</t>
  </si>
  <si>
    <t>48581 Drewry Alley</t>
  </si>
  <si>
    <t>sdymond62@nba.com</t>
  </si>
  <si>
    <t>5-757-716-7027</t>
  </si>
  <si>
    <t>340-1198</t>
  </si>
  <si>
    <t>14/09/2000</t>
  </si>
  <si>
    <t>30 Colorado Point</t>
  </si>
  <si>
    <t>kibbeson63@examiner.com</t>
  </si>
  <si>
    <t>630-5109</t>
  </si>
  <si>
    <t>101-8294</t>
  </si>
  <si>
    <t>02/02/1992</t>
  </si>
  <si>
    <t>70262 Lakewood Gardens Drive</t>
  </si>
  <si>
    <t>gcordrey64@google.ru</t>
  </si>
  <si>
    <t>1-452-571-4771</t>
  </si>
  <si>
    <t>249-7263</t>
  </si>
  <si>
    <t>19/08/1982</t>
  </si>
  <si>
    <t>82335 Bunting Plaza</t>
  </si>
  <si>
    <t>dsalliere65@webmd.com</t>
  </si>
  <si>
    <t>8-803-163-4837</t>
  </si>
  <si>
    <t>3-533-493-1809</t>
  </si>
  <si>
    <t>28/01/1993</t>
  </si>
  <si>
    <t>5 Badeau Circle</t>
  </si>
  <si>
    <t>abogges66@pcworld.com</t>
  </si>
  <si>
    <t>605-1903</t>
  </si>
  <si>
    <t>5-220-991-9450</t>
  </si>
  <si>
    <t>24/04/1994</t>
  </si>
  <si>
    <t>53 Dixon Road</t>
  </si>
  <si>
    <t>zdenham67@nymag.com</t>
  </si>
  <si>
    <t>0-898-489-6938</t>
  </si>
  <si>
    <t>314-5972</t>
  </si>
  <si>
    <t>20/02/1983</t>
  </si>
  <si>
    <t>53712 Springview Terrace</t>
  </si>
  <si>
    <t>aliverseege68@mapquest.com</t>
  </si>
  <si>
    <t>448-7041</t>
  </si>
  <si>
    <t>938-1753</t>
  </si>
  <si>
    <t>28/10/1980</t>
  </si>
  <si>
    <t>90132 Lindbergh Drive</t>
  </si>
  <si>
    <t>gmcelrea69@yellowbook.com</t>
  </si>
  <si>
    <t>7-121-661-2389</t>
  </si>
  <si>
    <t>361-3923</t>
  </si>
  <si>
    <t>18/03/1984</t>
  </si>
  <si>
    <t>838 Mariners Cove Center</t>
  </si>
  <si>
    <t>lsweynson6a@cmu.edu</t>
  </si>
  <si>
    <t>389-1905</t>
  </si>
  <si>
    <t>3-461-551-3303</t>
  </si>
  <si>
    <t>19/01/2001</t>
  </si>
  <si>
    <t>37743 Delladonna Center</t>
  </si>
  <si>
    <t>nmeenan6b@ehow.com</t>
  </si>
  <si>
    <t>955-8691</t>
  </si>
  <si>
    <t>0-972-280-0048</t>
  </si>
  <si>
    <t>09/04/1978</t>
  </si>
  <si>
    <t>9491 Oak Plaza</t>
  </si>
  <si>
    <t>ckopps6c@jalbum.net</t>
  </si>
  <si>
    <t>4-845-518-6678</t>
  </si>
  <si>
    <t>5-354-654-7253</t>
  </si>
  <si>
    <t>75142 Banding Avenue</t>
  </si>
  <si>
    <t>kgibbings6d@hud.gov</t>
  </si>
  <si>
    <t>1-168-829-6429</t>
  </si>
  <si>
    <t>896-3347</t>
  </si>
  <si>
    <t>27/12/1981</t>
  </si>
  <si>
    <t>4118 Hanover Plaza</t>
  </si>
  <si>
    <t>coshee6e@cornell.edu</t>
  </si>
  <si>
    <t>806-5502</t>
  </si>
  <si>
    <t>8-649-714-8176</t>
  </si>
  <si>
    <t>10/11/1981</t>
  </si>
  <si>
    <t>9 Ryan Road</t>
  </si>
  <si>
    <t>kprydie6f@edublogs.org</t>
  </si>
  <si>
    <t>5-592-571-6090</t>
  </si>
  <si>
    <t>1-244-951-3721</t>
  </si>
  <si>
    <t>05/04/1987</t>
  </si>
  <si>
    <t>408 Blaine Plaza</t>
  </si>
  <si>
    <t>dparratt6g@bloglines.com</t>
  </si>
  <si>
    <t>387-9159</t>
  </si>
  <si>
    <t>8-433-522-9613</t>
  </si>
  <si>
    <t>31/07/1976</t>
  </si>
  <si>
    <t>4 Dwight Junction</t>
  </si>
  <si>
    <t>bbagnal6h@icio.us</t>
  </si>
  <si>
    <t>4-522-818-0770</t>
  </si>
  <si>
    <t>1-279-302-2091</t>
  </si>
  <si>
    <t>24/11/1997</t>
  </si>
  <si>
    <t>31 Fallview Street</t>
  </si>
  <si>
    <t>srickis6i@infoseek.co.jp</t>
  </si>
  <si>
    <t>593-6760</t>
  </si>
  <si>
    <t>7-546-158-8745</t>
  </si>
  <si>
    <t>06/09/1980</t>
  </si>
  <si>
    <t>38 Raven Crossing</t>
  </si>
  <si>
    <t>afinnimore6j@usatoday.com</t>
  </si>
  <si>
    <t>459-0271</t>
  </si>
  <si>
    <t>7-859-385-3054</t>
  </si>
  <si>
    <t>05/12/1986</t>
  </si>
  <si>
    <t>79 Ramsey Park</t>
  </si>
  <si>
    <t>ccleeton6k@hugedomains.com</t>
  </si>
  <si>
    <t>7-103-204-9224</t>
  </si>
  <si>
    <t>186-7034</t>
  </si>
  <si>
    <t>30/09/1983</t>
  </si>
  <si>
    <t>536 Shoshone Plaza</t>
  </si>
  <si>
    <t>strighton6l@springer.com</t>
  </si>
  <si>
    <t>3-410-581-6918</t>
  </si>
  <si>
    <t>7-559-639-9884</t>
  </si>
  <si>
    <t>06/07/1984</t>
  </si>
  <si>
    <t>299 Brentwood Point</t>
  </si>
  <si>
    <t>bboshard6m@dropbox.com</t>
  </si>
  <si>
    <t>7-102-716-6329</t>
  </si>
  <si>
    <t>941-4545</t>
  </si>
  <si>
    <t>29/06/1990</t>
  </si>
  <si>
    <t>5 Prairieview Parkway</t>
  </si>
  <si>
    <t>rmcgreary6n@ifeng.com</t>
  </si>
  <si>
    <t>7-519-869-9060</t>
  </si>
  <si>
    <t>498-8780</t>
  </si>
  <si>
    <t>18/12/1985</t>
  </si>
  <si>
    <t>14403 Lakewood Plaza</t>
  </si>
  <si>
    <t>dsiggin6o@disqus.com</t>
  </si>
  <si>
    <t>194-9502</t>
  </si>
  <si>
    <t>9-967-838-0263</t>
  </si>
  <si>
    <t>02/11/1987</t>
  </si>
  <si>
    <t>236 Moland Crossing</t>
  </si>
  <si>
    <t>gwalkey6p@shinystat.com</t>
  </si>
  <si>
    <t>229-5647</t>
  </si>
  <si>
    <t>544-0748</t>
  </si>
  <si>
    <t>29/08/1995</t>
  </si>
  <si>
    <t>795 Blaine Alley</t>
  </si>
  <si>
    <t>tstitch6q@epa.gov</t>
  </si>
  <si>
    <t>3-739-125-7790</t>
  </si>
  <si>
    <t>842-6923</t>
  </si>
  <si>
    <t>13/03/1992</t>
  </si>
  <si>
    <t>8 Schmedeman Center</t>
  </si>
  <si>
    <t>bmatveichev6r@nsw.gov.au</t>
  </si>
  <si>
    <t>181-2392</t>
  </si>
  <si>
    <t>629-4931</t>
  </si>
  <si>
    <t>20/07/1991</t>
  </si>
  <si>
    <t>26 Rutledge Hill</t>
  </si>
  <si>
    <t>mklassman6s@hud.gov</t>
  </si>
  <si>
    <t>366-3515</t>
  </si>
  <si>
    <t>183-7597</t>
  </si>
  <si>
    <t>27/01/2001</t>
  </si>
  <si>
    <t>0 1st Terrace</t>
  </si>
  <si>
    <t>ctonbridge6t@naver.com</t>
  </si>
  <si>
    <t>5-908-122-2740</t>
  </si>
  <si>
    <t>881-2589</t>
  </si>
  <si>
    <t>16/07/1978</t>
  </si>
  <si>
    <t>02929 Luster Road</t>
  </si>
  <si>
    <t>jaddess6u@aboutads.info</t>
  </si>
  <si>
    <t>7-902-302-6581</t>
  </si>
  <si>
    <t>681-7844</t>
  </si>
  <si>
    <t>20/04/1990</t>
  </si>
  <si>
    <t>694 Hermina Road</t>
  </si>
  <si>
    <t>ebris6v@posterous.com</t>
  </si>
  <si>
    <t>7-704-101-6666</t>
  </si>
  <si>
    <t>419-7330</t>
  </si>
  <si>
    <t>27/11/1987</t>
  </si>
  <si>
    <t>7845 Utah Trail</t>
  </si>
  <si>
    <t>pnurse6w@mapquest.com</t>
  </si>
  <si>
    <t>6-361-498-2427</t>
  </si>
  <si>
    <t>2-384-139-1053</t>
  </si>
  <si>
    <t>09/01/1995</t>
  </si>
  <si>
    <t>68622 Sundown Center</t>
  </si>
  <si>
    <t>kpate6x@delicious.com</t>
  </si>
  <si>
    <t>8-648-874-2664</t>
  </si>
  <si>
    <t>281-1652</t>
  </si>
  <si>
    <t>14/02/1994</t>
  </si>
  <si>
    <t>22542 Emmet Point</t>
  </si>
  <si>
    <t>nelster6y@youku.com</t>
  </si>
  <si>
    <t>581-9598</t>
  </si>
  <si>
    <t>0-455-667-7898</t>
  </si>
  <si>
    <t>10/03/1978</t>
  </si>
  <si>
    <t>8 Bunker Hill Drive</t>
  </si>
  <si>
    <t>jerrichelli6z@bizjournals.com</t>
  </si>
  <si>
    <t>885-5026</t>
  </si>
  <si>
    <t>383-5445</t>
  </si>
  <si>
    <t>04/07/1983</t>
  </si>
  <si>
    <t>7815 Doe Crossing Alley</t>
  </si>
  <si>
    <t>ftomkys70@bandcamp.com</t>
  </si>
  <si>
    <t>423-9585</t>
  </si>
  <si>
    <t>3-145-164-8358</t>
  </si>
  <si>
    <t>21/09/1978</t>
  </si>
  <si>
    <t>432 Mcbride Avenue</t>
  </si>
  <si>
    <t>lsturt71@multiply.com</t>
  </si>
  <si>
    <t>3-432-974-8469</t>
  </si>
  <si>
    <t>2-232-257-5489</t>
  </si>
  <si>
    <t>17/03/1995</t>
  </si>
  <si>
    <t>6620 Hanover Way</t>
  </si>
  <si>
    <t>tschiementz72@parallels.com</t>
  </si>
  <si>
    <t>596-1036</t>
  </si>
  <si>
    <t>568-7017</t>
  </si>
  <si>
    <t>26/02/1996</t>
  </si>
  <si>
    <t>040 Golden Leaf Circle</t>
  </si>
  <si>
    <t>jpettisall73@moonfruit.com</t>
  </si>
  <si>
    <t>6-255-538-2420</t>
  </si>
  <si>
    <t>174-2501</t>
  </si>
  <si>
    <t>22/02/1989</t>
  </si>
  <si>
    <t>62 Shoshone Drive</t>
  </si>
  <si>
    <t>relverston74@shinystat.com</t>
  </si>
  <si>
    <t>3-774-386-2076</t>
  </si>
  <si>
    <t>6-295-164-1434</t>
  </si>
  <si>
    <t>27/02/1984</t>
  </si>
  <si>
    <t>7 Shopko Terrace</t>
  </si>
  <si>
    <t>ecastangia75@slideshare.net</t>
  </si>
  <si>
    <t>5-223-995-2389</t>
  </si>
  <si>
    <t>933-8011</t>
  </si>
  <si>
    <t>23/08/1978</t>
  </si>
  <si>
    <t>4036 Ohio Crossing</t>
  </si>
  <si>
    <t>cblythin76@columbia.edu</t>
  </si>
  <si>
    <t>632-9316</t>
  </si>
  <si>
    <t>916-9845</t>
  </si>
  <si>
    <t>13/03/1998</t>
  </si>
  <si>
    <t>7 Muir Drive</t>
  </si>
  <si>
    <t>churlston77@hud.gov</t>
  </si>
  <si>
    <t>934-2608</t>
  </si>
  <si>
    <t>124-6630</t>
  </si>
  <si>
    <t>17/07/1989</t>
  </si>
  <si>
    <t>87029 Kennedy Parkway</t>
  </si>
  <si>
    <t>arodinger78@cafepress.com</t>
  </si>
  <si>
    <t>403-9111</t>
  </si>
  <si>
    <t>0-839-747-9033</t>
  </si>
  <si>
    <t>14/12/2000</t>
  </si>
  <si>
    <t>1870 Westerfield Trail</t>
  </si>
  <si>
    <t>fsketh79@sciencedaily.com</t>
  </si>
  <si>
    <t>4-890-806-8717</t>
  </si>
  <si>
    <t>7-937-785-4491</t>
  </si>
  <si>
    <t>06/07/2000</t>
  </si>
  <si>
    <t>9 Fairview Alley</t>
  </si>
  <si>
    <t>mcottis7a@domainmarket.com</t>
  </si>
  <si>
    <t>654-3968</t>
  </si>
  <si>
    <t>7-657-409-6498</t>
  </si>
  <si>
    <t>26/10/2000</t>
  </si>
  <si>
    <t>9184 Lunder Court</t>
  </si>
  <si>
    <t>mcallaghan7b@geocities.com</t>
  </si>
  <si>
    <t>664-2789</t>
  </si>
  <si>
    <t>3-686-912-2780</t>
  </si>
  <si>
    <t>22/05/1999</t>
  </si>
  <si>
    <t>74 Hollow Ridge Junction</t>
  </si>
  <si>
    <t>ubroader7c@zimbio.com</t>
  </si>
  <si>
    <t>8-818-131-0641</t>
  </si>
  <si>
    <t>608-3424</t>
  </si>
  <si>
    <t>06/01/1976</t>
  </si>
  <si>
    <t>5 Grasskamp Avenue</t>
  </si>
  <si>
    <t>darend7d@earthlink.net</t>
  </si>
  <si>
    <t>2-353-955-2533</t>
  </si>
  <si>
    <t>0-429-622-6986</t>
  </si>
  <si>
    <t>25/01/1999</t>
  </si>
  <si>
    <t>17 Petterle Lane</t>
  </si>
  <si>
    <t>rcurcher7e@liveinternet.ru</t>
  </si>
  <si>
    <t>6-477-918-0738</t>
  </si>
  <si>
    <t>6-945-367-2540</t>
  </si>
  <si>
    <t>30/10/1990</t>
  </si>
  <si>
    <t>622 Declaration Junction</t>
  </si>
  <si>
    <t>jodby7f@wix.com</t>
  </si>
  <si>
    <t>1-554-695-0761</t>
  </si>
  <si>
    <t>224-0832</t>
  </si>
  <si>
    <t>15/01/2000</t>
  </si>
  <si>
    <t>8 Cherokee Hill</t>
  </si>
  <si>
    <t>dcarratt7g@marketwatch.com</t>
  </si>
  <si>
    <t>0-817-441-1610</t>
  </si>
  <si>
    <t>5-779-417-1337</t>
  </si>
  <si>
    <t>28/02/1988</t>
  </si>
  <si>
    <t>14344 Havey Alley</t>
  </si>
  <si>
    <t>sgaye7h@globo.com</t>
  </si>
  <si>
    <t>426-4524</t>
  </si>
  <si>
    <t>933-5828</t>
  </si>
  <si>
    <t>06/12/1987</t>
  </si>
  <si>
    <t>10 Armistice Terrace</t>
  </si>
  <si>
    <t>hpaice7i@mail.ru</t>
  </si>
  <si>
    <t>5-637-878-5926</t>
  </si>
  <si>
    <t>493-1208</t>
  </si>
  <si>
    <t>19/07/1999</t>
  </si>
  <si>
    <t>218 Aberg Crossing</t>
  </si>
  <si>
    <t>vantonucci7j@about.me</t>
  </si>
  <si>
    <t>6-707-942-4626</t>
  </si>
  <si>
    <t>5-764-122-5270</t>
  </si>
  <si>
    <t>21/06/1979</t>
  </si>
  <si>
    <t>1 Spohn Avenue</t>
  </si>
  <si>
    <t>scircuit7k@odnoklassniki.ru</t>
  </si>
  <si>
    <t>5-802-460-3744</t>
  </si>
  <si>
    <t>3-781-229-6434</t>
  </si>
  <si>
    <t>14/07/1999</t>
  </si>
  <si>
    <t>28 Hanson Street</t>
  </si>
  <si>
    <t>iellcome7l@irs.gov</t>
  </si>
  <si>
    <t>689-4100</t>
  </si>
  <si>
    <t>2-660-793-4599</t>
  </si>
  <si>
    <t>20/12/1976</t>
  </si>
  <si>
    <t>7 Bluejay Center</t>
  </si>
  <si>
    <t>kwhitear7m@go.com</t>
  </si>
  <si>
    <t>7-191-893-9792</t>
  </si>
  <si>
    <t>795-8096</t>
  </si>
  <si>
    <t>06/11/1975</t>
  </si>
  <si>
    <t>59549 Lukken Lane</t>
  </si>
  <si>
    <t>gratie7n@ifeng.com</t>
  </si>
  <si>
    <t>9-420-991-1324</t>
  </si>
  <si>
    <t>277-5276</t>
  </si>
  <si>
    <t>29/09/1994</t>
  </si>
  <si>
    <t>69467 Hudson Junction</t>
  </si>
  <si>
    <t>gphilipp7o@comcast.net</t>
  </si>
  <si>
    <t>160-1399</t>
  </si>
  <si>
    <t>354-8194</t>
  </si>
  <si>
    <t>05/03/1976</t>
  </si>
  <si>
    <t>791 Artisan Parkway</t>
  </si>
  <si>
    <t>agodbehere7p@blinklist.com</t>
  </si>
  <si>
    <t>0-277-149-7531</t>
  </si>
  <si>
    <t>722-2880</t>
  </si>
  <si>
    <t>29/05/2000</t>
  </si>
  <si>
    <t>13040 Rieder Place</t>
  </si>
  <si>
    <t>mcostar7q@webeden.co.uk</t>
  </si>
  <si>
    <t>5-388-517-1890</t>
  </si>
  <si>
    <t>407-5253</t>
  </si>
  <si>
    <t>09/07/1987</t>
  </si>
  <si>
    <t>9524 Kedzie Pass</t>
  </si>
  <si>
    <t>tbunyard7r@nyu.edu</t>
  </si>
  <si>
    <t>951-8376</t>
  </si>
  <si>
    <t>4-975-373-9341</t>
  </si>
  <si>
    <t>15/12/1986</t>
  </si>
  <si>
    <t>9222 Erie Alley</t>
  </si>
  <si>
    <t>rfrankom7s@hc360.com</t>
  </si>
  <si>
    <t>517-3782</t>
  </si>
  <si>
    <t>0-510-954-6984</t>
  </si>
  <si>
    <t>28/03/1976</t>
  </si>
  <si>
    <t>8410 Mifflin Junction</t>
  </si>
  <si>
    <t>seslie7t@addtoany.com</t>
  </si>
  <si>
    <t>1-504-525-3032</t>
  </si>
  <si>
    <t>298-7602</t>
  </si>
  <si>
    <t>06/03/1997</t>
  </si>
  <si>
    <t>494 Tomscot Road</t>
  </si>
  <si>
    <t>ffitzgilbert7u@utexas.edu</t>
  </si>
  <si>
    <t>3-420-967-5571</t>
  </si>
  <si>
    <t>8-624-818-3420</t>
  </si>
  <si>
    <t>01/04/1985</t>
  </si>
  <si>
    <t>8780 Green Crossing</t>
  </si>
  <si>
    <t>lminot7v@spiegel.de</t>
  </si>
  <si>
    <t>4-831-491-9045</t>
  </si>
  <si>
    <t>602-1698</t>
  </si>
  <si>
    <t>21/03/1996</t>
  </si>
  <si>
    <t>5410 Valley Edge Alley</t>
  </si>
  <si>
    <t>vdormand7w@stanford.edu</t>
  </si>
  <si>
    <t>2-379-915-7939</t>
  </si>
  <si>
    <t>804-8939</t>
  </si>
  <si>
    <t>08/05/1991</t>
  </si>
  <si>
    <t>6832 Delladonna Way</t>
  </si>
  <si>
    <t>ddwire7x@census.gov</t>
  </si>
  <si>
    <t>587-9911</t>
  </si>
  <si>
    <t>5-987-131-9359</t>
  </si>
  <si>
    <t>01/09/1986</t>
  </si>
  <si>
    <t>18832 Goodland Way</t>
  </si>
  <si>
    <t>pliddington7y@live.com</t>
  </si>
  <si>
    <t>772-6521</t>
  </si>
  <si>
    <t>942-4687</t>
  </si>
  <si>
    <t>02/05/1980</t>
  </si>
  <si>
    <t>333 Prairie Rose Drive</t>
  </si>
  <si>
    <t>nwrightim7z@tumblr.com</t>
  </si>
  <si>
    <t>0-794-108-9295</t>
  </si>
  <si>
    <t>727-0878</t>
  </si>
  <si>
    <t>14/04/1999</t>
  </si>
  <si>
    <t>501 Sherman Alley</t>
  </si>
  <si>
    <t>aburnage80@pcworld.com</t>
  </si>
  <si>
    <t>618-9042</t>
  </si>
  <si>
    <t>6-538-339-0119</t>
  </si>
  <si>
    <t>08/12/1976</t>
  </si>
  <si>
    <t>8301 Division Lane</t>
  </si>
  <si>
    <t>amanifold81@admin.ch</t>
  </si>
  <si>
    <t>7-134-602-4951</t>
  </si>
  <si>
    <t>260-1220</t>
  </si>
  <si>
    <t>1121 Lake View Terrace</t>
  </si>
  <si>
    <t>hrillatt82@xing.com</t>
  </si>
  <si>
    <t>2-682-867-9484</t>
  </si>
  <si>
    <t>6-325-991-4804</t>
  </si>
  <si>
    <t>18/04/1991</t>
  </si>
  <si>
    <t>6885 Florence Plaza</t>
  </si>
  <si>
    <t>lmicallef83@icio.us</t>
  </si>
  <si>
    <t>6-693-974-3159</t>
  </si>
  <si>
    <t>596-6027</t>
  </si>
  <si>
    <t>12/06/1996</t>
  </si>
  <si>
    <t>2 Stang Road</t>
  </si>
  <si>
    <t>lgrinnov84@bandcamp.com</t>
  </si>
  <si>
    <t>427-7906</t>
  </si>
  <si>
    <t>523-2269</t>
  </si>
  <si>
    <t>10/01/1976</t>
  </si>
  <si>
    <t>8 Gerald Hill</t>
  </si>
  <si>
    <t>cguard85@fc2.com</t>
  </si>
  <si>
    <t>2-538-671-1894</t>
  </si>
  <si>
    <t>949-6306</t>
  </si>
  <si>
    <t>22/03/1994</t>
  </si>
  <si>
    <t>14598 Division Pass</t>
  </si>
  <si>
    <t>gshelsher86@cargocollective.com</t>
  </si>
  <si>
    <t>661-9641</t>
  </si>
  <si>
    <t>965-7259</t>
  </si>
  <si>
    <t>11/08/1987</t>
  </si>
  <si>
    <t>946 Loftsgordon Park</t>
  </si>
  <si>
    <t>dvictor87@fastcompany.com</t>
  </si>
  <si>
    <t>8-496-111-1567</t>
  </si>
  <si>
    <t>9-564-290-8553</t>
  </si>
  <si>
    <t>26/03/1997</t>
  </si>
  <si>
    <t>2997 Aberg Court</t>
  </si>
  <si>
    <t>ttschursch88@com.com</t>
  </si>
  <si>
    <t>8-597-764-6520</t>
  </si>
  <si>
    <t>459-7936</t>
  </si>
  <si>
    <t>21/06/1982</t>
  </si>
  <si>
    <t>80 Summer Ridge Plaza</t>
  </si>
  <si>
    <t>kelvidge89@ibm.com</t>
  </si>
  <si>
    <t>723-2737</t>
  </si>
  <si>
    <t>4-815-145-1235</t>
  </si>
  <si>
    <t>13/08/1987</t>
  </si>
  <si>
    <t>523 Kedzie Park</t>
  </si>
  <si>
    <t>hdawdary8a@taobao.com</t>
  </si>
  <si>
    <t>2-268-477-4741</t>
  </si>
  <si>
    <t>784-3903</t>
  </si>
  <si>
    <t>476 Gulseth Way</t>
  </si>
  <si>
    <t>lbrookwell8b@topsy.com</t>
  </si>
  <si>
    <t>4-867-933-4636</t>
  </si>
  <si>
    <t>570-3432</t>
  </si>
  <si>
    <t>Date of Resignation</t>
  </si>
  <si>
    <t>Notice Period Served</t>
  </si>
  <si>
    <t>Last Working Date</t>
  </si>
  <si>
    <t>Reason of Resignation</t>
  </si>
  <si>
    <t>Willingness to Join Back</t>
  </si>
  <si>
    <t>Clearance from All Departments</t>
  </si>
  <si>
    <t>No</t>
  </si>
  <si>
    <t>Absconded</t>
  </si>
  <si>
    <t>Yes</t>
  </si>
  <si>
    <t>Better Opportunities</t>
  </si>
  <si>
    <t>Early Release</t>
  </si>
  <si>
    <t>Others</t>
  </si>
  <si>
    <t>Personal</t>
  </si>
  <si>
    <t>Terminated</t>
  </si>
  <si>
    <t>Country</t>
  </si>
  <si>
    <t>Job Type</t>
  </si>
  <si>
    <t>Office Locations</t>
  </si>
  <si>
    <t>Reason for Resignation</t>
  </si>
  <si>
    <t>Yes/No</t>
  </si>
  <si>
    <t>Positions</t>
  </si>
  <si>
    <t>Departments</t>
  </si>
  <si>
    <t>A-</t>
  </si>
  <si>
    <t>Senior Executive</t>
  </si>
  <si>
    <t>Executive</t>
  </si>
  <si>
    <t>China</t>
  </si>
  <si>
    <t>Vanuatu</t>
  </si>
  <si>
    <t>Brazil</t>
  </si>
  <si>
    <t>Tunisia</t>
  </si>
  <si>
    <t>Indonesia</t>
  </si>
  <si>
    <t>Dominican Republic</t>
  </si>
  <si>
    <t>Russia</t>
  </si>
  <si>
    <t>Ukraine</t>
  </si>
  <si>
    <t>Portugal</t>
  </si>
  <si>
    <t>France</t>
  </si>
  <si>
    <t>Ecuador</t>
  </si>
  <si>
    <t>Mexico</t>
  </si>
  <si>
    <t>Sudan</t>
  </si>
  <si>
    <t>Greece</t>
  </si>
  <si>
    <t>Argentina</t>
  </si>
  <si>
    <t>Tanzania</t>
  </si>
  <si>
    <t>Poland</t>
  </si>
  <si>
    <t>Japan</t>
  </si>
  <si>
    <t>Iran</t>
  </si>
  <si>
    <t>Saudi Arabia</t>
  </si>
  <si>
    <t>Republic of North Macedonia</t>
  </si>
  <si>
    <t>Peru</t>
  </si>
  <si>
    <t>Faroe Islands</t>
  </si>
  <si>
    <t>South Africa</t>
  </si>
  <si>
    <t>Bangladesh</t>
  </si>
  <si>
    <t>Honduras</t>
  </si>
  <si>
    <t>Colombia</t>
  </si>
  <si>
    <t>Armenia</t>
  </si>
  <si>
    <t>Cameroon</t>
  </si>
  <si>
    <t>Costa Rica</t>
  </si>
  <si>
    <t>Chile</t>
  </si>
  <si>
    <t>Syria</t>
  </si>
  <si>
    <t>Czech Republic</t>
  </si>
  <si>
    <t>Canada</t>
  </si>
  <si>
    <t>Norway</t>
  </si>
  <si>
    <t>Jordan</t>
  </si>
  <si>
    <t>Panama</t>
  </si>
  <si>
    <t>Nepal</t>
  </si>
  <si>
    <t>Germany</t>
  </si>
  <si>
    <t>Philippines</t>
  </si>
  <si>
    <t>Bosnia and Herzegovina</t>
  </si>
  <si>
    <t>Vietnam</t>
  </si>
  <si>
    <t>United States</t>
  </si>
  <si>
    <t>Sweden</t>
  </si>
  <si>
    <t>Albania</t>
  </si>
  <si>
    <t>Serbia</t>
  </si>
  <si>
    <t>Paraguay</t>
  </si>
  <si>
    <t>Bahamas</t>
  </si>
  <si>
    <t>Sri Lanka</t>
  </si>
  <si>
    <t>Nigeria</t>
  </si>
  <si>
    <t>Yemen</t>
  </si>
  <si>
    <t>Guam</t>
  </si>
  <si>
    <t>Croatia</t>
  </si>
  <si>
    <t>Ireland</t>
  </si>
  <si>
    <t>Morocco</t>
  </si>
  <si>
    <t>Finland</t>
  </si>
  <si>
    <t>Israel</t>
  </si>
  <si>
    <t>Egypt</t>
  </si>
  <si>
    <t>Thailand</t>
  </si>
  <si>
    <t>Libya</t>
  </si>
  <si>
    <t>Slovenia</t>
  </si>
  <si>
    <t>Spain</t>
  </si>
  <si>
    <t>Malaysia</t>
  </si>
  <si>
    <t>Kyrgyzstan</t>
  </si>
  <si>
    <t>Central African Republic</t>
  </si>
  <si>
    <t>Lebanon</t>
  </si>
  <si>
    <t>Belarus</t>
  </si>
  <si>
    <t>Netherlands</t>
  </si>
  <si>
    <t>Turkey</t>
  </si>
  <si>
    <t>Lithuania</t>
  </si>
  <si>
    <t>Palestinian National Authority</t>
  </si>
  <si>
    <t>Kosovo</t>
  </si>
  <si>
    <t>Uganda</t>
  </si>
  <si>
    <t>Tajikistan</t>
  </si>
  <si>
    <t>Guinea</t>
  </si>
  <si>
    <t>Luxembourg</t>
  </si>
  <si>
    <t>North Korea</t>
  </si>
  <si>
    <t>Bulgaria</t>
  </si>
  <si>
    <t>Estonia</t>
  </si>
  <si>
    <t>Comoros</t>
  </si>
  <si>
    <t>Mongolia</t>
  </si>
  <si>
    <t>India</t>
  </si>
  <si>
    <t>Experience in SAREGAMA</t>
  </si>
  <si>
    <t>% of Combined Experience by 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</si>
</sst>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"/>
      <color rgb="FF111111"/>
      <name val="Verdana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/>
      <right style="thin">
        <color rgb="FFED7D31"/>
      </right>
      <top style="thin">
        <color rgb="FFED7D31"/>
      </top>
      <bottom style="thin">
        <color rgb="FFED7D31"/>
      </bottom>
      <diagonal/>
    </border>
    <border>
      <left/>
      <right style="thin">
        <color rgb="FFED7D31"/>
      </right>
      <top style="thin">
        <color rgb="FFED7D31"/>
      </top>
      <bottom/>
      <diagonal/>
    </border>
    <border>
      <left/>
      <right/>
      <top style="thin">
        <color rgb="FFED7D31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</borders>
  <cellStyleXfs count="3">
    <xf numFmtId="0" fontId="0" fillId="0" borderId="0"/>
    <xf numFmtId="0" fontId="1" fillId="0" borderId="0"/>
    <xf numFmtId="9" fontId="6" fillId="0" borderId="0" applyFont="0" applyFill="0" applyBorder="0" applyAlignment="0" applyProtection="0"/>
  </cellStyleXfs>
  <cellXfs count="26">
    <xf numFmtId="0" fontId="0" fillId="0" borderId="0" xfId="0"/>
    <xf numFmtId="2" fontId="0" fillId="0" borderId="0" xfId="0" applyNumberFormat="1"/>
    <xf numFmtId="0" fontId="0" fillId="0" borderId="0" xfId="0" applyNumberFormat="1"/>
    <xf numFmtId="0" fontId="1" fillId="0" borderId="0" xfId="1"/>
    <xf numFmtId="0" fontId="0" fillId="0" borderId="0" xfId="0" applyFill="1"/>
    <xf numFmtId="14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0" borderId="0" xfId="0" applyFill="1" applyAlignment="1">
      <alignment wrapText="1"/>
    </xf>
    <xf numFmtId="0" fontId="0" fillId="0" borderId="0" xfId="0" applyNumberFormat="1" applyFill="1"/>
    <xf numFmtId="0" fontId="1" fillId="0" borderId="0" xfId="1" applyFill="1"/>
    <xf numFmtId="0" fontId="1" fillId="0" borderId="2" xfId="0" applyFont="1" applyFill="1" applyBorder="1"/>
    <xf numFmtId="0" fontId="4" fillId="0" borderId="3" xfId="0" applyFont="1" applyFill="1" applyBorder="1"/>
    <xf numFmtId="0" fontId="1" fillId="0" borderId="1" xfId="0" applyFont="1" applyFill="1" applyBorder="1"/>
    <xf numFmtId="0" fontId="0" fillId="0" borderId="0" xfId="0" applyFill="1" applyBorder="1"/>
    <xf numFmtId="0" fontId="0" fillId="0" borderId="4" xfId="0" applyNumberFormat="1" applyFont="1" applyBorder="1"/>
    <xf numFmtId="0" fontId="0" fillId="0" borderId="5" xfId="0" applyNumberFormat="1" applyFont="1" applyBorder="1"/>
    <xf numFmtId="0" fontId="1" fillId="0" borderId="0" xfId="0" applyFont="1" applyFill="1" applyBorder="1"/>
    <xf numFmtId="0" fontId="5" fillId="3" borderId="0" xfId="0" applyFont="1" applyFill="1" applyAlignment="1">
      <alignment wrapText="1"/>
    </xf>
    <xf numFmtId="1" fontId="5" fillId="3" borderId="0" xfId="0" applyNumberFormat="1" applyFont="1" applyFill="1" applyAlignment="1">
      <alignment wrapText="1"/>
    </xf>
    <xf numFmtId="10" fontId="0" fillId="0" borderId="0" xfId="2" applyNumberFormat="1" applyFont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Border="1"/>
  </cellXfs>
  <cellStyles count="3">
    <cellStyle name="Normal" xfId="0" builtinId="0"/>
    <cellStyle name="Normal 2" xfId="1" xr:uid="{C51B6BE6-4662-46C9-8B20-A863DD29EFFA}"/>
    <cellStyle name="Percent" xfId="2" builtinId="5"/>
  </cellStyles>
  <dxfs count="43"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4" formatCode="0.00%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color rgb="FF000000"/>
      </font>
      <numFmt numFmtId="0" formatCode="General"/>
      <fill>
        <patternFill patternType="none">
          <fgColor rgb="FF000000"/>
          <bgColor auto="1"/>
        </patternFill>
      </fill>
      <border diagonalUp="0" diagonalDown="0" outline="0">
        <left/>
        <right style="thin">
          <color rgb="FFED7D31"/>
        </right>
        <top style="thin">
          <color rgb="FFED7D31"/>
        </top>
        <bottom/>
      </border>
    </dxf>
    <dxf>
      <numFmt numFmtId="1" formatCode="0"/>
    </dxf>
    <dxf>
      <font>
        <color rgb="FF000000"/>
      </font>
      <numFmt numFmtId="0" formatCode="General"/>
      <fill>
        <patternFill patternType="none">
          <fgColor rgb="FF000000"/>
          <bgColor auto="1"/>
        </patternFill>
      </fill>
      <border diagonalUp="0" diagonalDown="0" outline="0">
        <left/>
        <right style="thin">
          <color rgb="FFED7D31"/>
        </right>
        <top style="thin">
          <color rgb="FFED7D31"/>
        </top>
        <bottom/>
      </border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1" formatCode="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FB9903-D44A-4297-ADD5-EAC4EF8F8400}" name="Tbl_Emp_Onboarding" displayName="Tbl_Emp_Onboarding" ref="A1:I301" totalsRowShown="0">
  <autoFilter ref="A1:I301" xr:uid="{2F7CF663-9C9D-43C1-9D62-C29C221BACF5}"/>
  <tableColumns count="9">
    <tableColumn id="6" xr3:uid="{449E6725-340A-4C69-B55E-8CCF1EE6B643}" name="Employee ID" dataDxfId="39"/>
    <tableColumn id="12" xr3:uid="{D340B207-809B-4A88-B853-2F0C067EB6BE}" name="First Name" dataDxfId="38"/>
    <tableColumn id="11" xr3:uid="{678F0B48-576E-4F9E-B40A-6F81C327E38E}" name="Last Name" dataDxfId="37"/>
    <tableColumn id="2" xr3:uid="{AA9AFF1F-2F6D-473C-92B8-361EB08F2340}" name="Company Email ID" dataDxfId="36">
      <calculatedColumnFormula>_xlfn.CONCAT(Tbl_Emp_Onboarding[[#This Row],[First Name]],".",Tbl_Emp_Onboarding[[#This Row],[Last Name]],"@saregama.com")</calculatedColumnFormula>
    </tableColumn>
    <tableColumn id="3" xr3:uid="{975517AC-66F4-4FB0-8907-0F5BCF24E706}" name="Date of Joining" dataDxfId="35"/>
    <tableColumn id="4" xr3:uid="{CF709CD0-56F3-42AB-888D-5B4C908FFC80}" name="Total Experience" dataDxfId="34">
      <calculatedColumnFormula>RANDBETWEEN(0,6)+((TODAY() - 'Employee Onboarding'!E2)/365.25)</calculatedColumnFormula>
    </tableColumn>
    <tableColumn id="8" xr3:uid="{610D9D28-7E3E-4413-952B-22A6634F1050}" name="Previous Company"/>
    <tableColumn id="13" xr3:uid="{D088B3AB-C463-41D7-91A3-BA55D6C3B9AA}" name="Education Qualification" dataDxfId="33"/>
    <tableColumn id="14" xr3:uid="{9AE4C2C4-BC55-4CE9-B0EE-7215D1E73224}" name="Position" dataDxfId="32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F59CD2-EFFB-46AB-8C6D-0EE778F9450B}" name="Tbl_Employee_Details" displayName="Tbl_Employee_Details" ref="A1:T301" totalsRowShown="0" headerRowDxfId="28">
  <autoFilter ref="A1:T301" xr:uid="{AD2033D1-6DB8-4E8F-87E5-8007BDAA894C}"/>
  <tableColumns count="20">
    <tableColumn id="1" xr3:uid="{00D793EE-61E8-4A1F-82C3-9B4E27EFB83B}" name="Employee ID" dataDxfId="27"/>
    <tableColumn id="2" xr3:uid="{9189CCFD-9AEB-430B-8EBF-5ED19C4504B6}" name="First Name"/>
    <tableColumn id="3" xr3:uid="{48493280-58B6-4E9D-BB0E-C30490AC6844}" name="Last Name"/>
    <tableColumn id="14" xr3:uid="{79FD43D8-EC2F-4B5E-B357-A917462AA886}" name="Gender"/>
    <tableColumn id="4" xr3:uid="{DC475C17-0531-4057-A95D-4C7F23A52373}" name="Date of Birth"/>
    <tableColumn id="5" xr3:uid="{D269B11C-B9A4-44F0-AAD4-7F8C9ED05D73}" name="Address" dataDxfId="26"/>
    <tableColumn id="6" xr3:uid="{2D3A73BF-03BF-4BEF-8E6B-0418A0F40FFE}" name="Country of Origin"/>
    <tableColumn id="7" xr3:uid="{01FBB7BE-CBD8-49D1-AF26-7D47AD152389}" name="Personal email ID"/>
    <tableColumn id="8" xr3:uid="{C77E2A05-9DC5-4EFA-93D1-4DA898A40A1B}" name="Contact Number" dataDxfId="25"/>
    <tableColumn id="9" xr3:uid="{DC65EAE7-5356-4191-AC68-5BEABCCC446E}" name="Emergency Contact Number" dataDxfId="24"/>
    <tableColumn id="10" xr3:uid="{E83ECDAA-DE1F-42BF-B126-65419EC1B979}" name="Blood Group" dataDxfId="23"/>
    <tableColumn id="11" xr3:uid="{7FAFCF5F-281C-475B-A6FB-7A27714F8684}" name="Comp. Email ID" dataDxfId="22">
      <calculatedColumnFormula>_xlfn.CONCAT(Tbl_Employee_Details[[#This Row],[First Name]],".",Tbl_Employee_Details[[#This Row],[Last Name]],"@saregama.com")</calculatedColumnFormula>
    </tableColumn>
    <tableColumn id="19" xr3:uid="{14A9E7D5-D6B7-4827-BB52-6A5C717E01AA}" name="Experience in SAREGAMA" dataDxfId="21">
      <calculatedColumnFormula>(TODAY() - 'Employee Onboarding'!E2)/365.25</calculatedColumnFormula>
    </tableColumn>
    <tableColumn id="13" xr3:uid="{CB7B7E2E-CD77-49E2-A59C-AD5BFAE550AC}" name="Salary ($)" dataDxfId="20"/>
    <tableColumn id="15" xr3:uid="{D67695F6-7FC3-4B51-BFE4-EEF4321D03A7}" name="Position" dataDxfId="19"/>
    <tableColumn id="16" xr3:uid="{CF8A02AC-92FC-4D04-BCC8-7398894679EF}" name="Age" dataDxfId="18">
      <calculatedColumnFormula>YEARFRAC(Tbl_Employee_Details[[#This Row],[Date of Birth]],TODAY())</calculatedColumnFormula>
    </tableColumn>
    <tableColumn id="17" xr3:uid="{38EA6E02-E153-47C3-840A-986D2A4C7597}" name="Department" dataDxfId="17"/>
    <tableColumn id="18" xr3:uid="{2963C7BF-36AE-4575-B4C0-36B51A275A93}" name="Office Location" dataDxfId="16"/>
    <tableColumn id="20" xr3:uid="{BD7D6BD4-096D-4714-A173-981D98E9301F}" name="Exited" dataDxfId="15">
      <calculatedColumnFormula>IF(ISNA(VLOOKUP(A2,Tbl_Exit_Formalities[Employee ID],1,FALSE)), "No", "Yes")</calculatedColumnFormula>
    </tableColumn>
    <tableColumn id="21" xr3:uid="{8AEB022A-038F-4DD3-9CF2-6DA1BF59AAA1}" name="% of Combined Experience by Department" dataDxfId="14" dataCellStyle="Percent">
      <calculatedColumnFormula>Tbl_Employee_Details[[#This Row],[Experience in SAREGAMA]]/((SUMIFS(Tbl_Employee_Details[Experience in SAREGAMA],Tbl_Employee_Details[Department],Tbl_Employee_Details[[#This Row],[Department]])))</calculatedColumnFormula>
    </tableColumn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129A0A-1CA8-4F86-9C08-8634A1B4FEEF}" name="Tbl_Exit_Formalities" displayName="Tbl_Exit_Formalities" ref="A1:G31" totalsRowShown="0">
  <autoFilter ref="A1:G31" xr:uid="{171AD737-6DFA-463C-900F-783517C87DB3}"/>
  <tableColumns count="7">
    <tableColumn id="1" xr3:uid="{52C56B59-5E06-47C1-B25F-6F56DB46E6AE}" name="Employee ID"/>
    <tableColumn id="2" xr3:uid="{91C54E39-EBD5-43AE-9E57-EE051471C373}" name="Date of Resignation" dataDxfId="13"/>
    <tableColumn id="3" xr3:uid="{B512DF0F-C685-463A-BE75-C74C31B0B128}" name="Notice Period Served"/>
    <tableColumn id="4" xr3:uid="{EC96CBDF-0475-4860-816C-B19B5812448D}" name="Last Working Date"/>
    <tableColumn id="5" xr3:uid="{D283415C-D028-4B9F-9FB3-9218C9D0A3D1}" name="Reason of Resignation" dataDxfId="12"/>
    <tableColumn id="6" xr3:uid="{AD773010-5AEE-4FB1-B1CA-A72C8C41AD56}" name="Willingness to Join Back" dataDxfId="11"/>
    <tableColumn id="9" xr3:uid="{41A4556D-D10C-4090-A4E9-3A179F7DBE6B}" name="Clearance from All Departments" dataDxfId="1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0AB840-6DB2-4B43-95C1-3222FB980A41}" name="Table4" displayName="Table4" ref="A1:G301" totalsRowShown="0">
  <autoFilter ref="A1:G301" xr:uid="{D7A074F7-9DD4-40B3-89DE-1372B81A49D6}"/>
  <tableColumns count="7">
    <tableColumn id="1" xr3:uid="{C9D3C01E-8249-405A-A728-D8FBB9D8288B}" name="Employee ID" dataDxfId="6"/>
    <tableColumn id="2" xr3:uid="{E74EE81F-2C7F-4823-B311-14F6E6FDF55F}" name="Gender" dataDxfId="5">
      <calculatedColumnFormula>VLOOKUP(Table4[[#This Row],[Employee ID]],Tbl_Employee_Details[],4,0)</calculatedColumnFormula>
    </tableColumn>
    <tableColumn id="3" xr3:uid="{6D377819-B8CE-440C-AC58-90DF2962C48A}" name="Country" dataDxfId="4">
      <calculatedColumnFormula>VLOOKUP(Table4[[#This Row],[Employee ID]],Tbl_Employee_Details[],7,)</calculatedColumnFormula>
    </tableColumn>
    <tableColumn id="4" xr3:uid="{C3A3A94D-C4A0-4308-9F7B-4B7B3D7FF18F}" name="Department" dataDxfId="3">
      <calculatedColumnFormula>VLOOKUP(Table4[[#This Row],[Employee ID]],Tbl_Employee_Details[],17,FALSE)</calculatedColumnFormula>
    </tableColumn>
    <tableColumn id="5" xr3:uid="{27791838-0579-4986-8D91-E258AEA26266}" name="Age" dataDxfId="2">
      <calculatedColumnFormula>VLOOKUP(Table4[[#This Row],[Employee ID]],Tbl_Employee_Details[],16,FALSE)</calculatedColumnFormula>
    </tableColumn>
    <tableColumn id="6" xr3:uid="{9260A993-27C3-4ADF-8E15-DE0E6F1F739B}" name="Office Location" dataDxfId="1">
      <calculatedColumnFormula>VLOOKUP(Table4[[#This Row],[Employee ID]],Tbl_Employee_Details[],18,FALSE)</calculatedColumnFormula>
    </tableColumn>
    <tableColumn id="8" xr3:uid="{62A088FD-F143-4D09-95BC-ECF38E7E3C5F}" name="Education Qualification" dataDxfId="0">
      <calculatedColumnFormula>VLOOKUP(Table4[[#This Row],[Employee ID]],Tbl_Emp_Onboarding[],8,FALSE)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"/>
  <sheetViews>
    <sheetView workbookViewId="0">
      <pane ySplit="1" topLeftCell="A2" activePane="bottomLeft" state="frozen"/>
      <selection pane="bottomLeft" activeCell="F2" sqref="F2"/>
    </sheetView>
  </sheetViews>
  <sheetFormatPr defaultRowHeight="14.55" x14ac:dyDescent="0.3"/>
  <cols>
    <col min="1" max="3" width="13.109375" style="1" customWidth="1"/>
    <col min="4" max="4" width="32.33203125" bestFit="1" customWidth="1"/>
    <col min="5" max="5" width="16.6640625" style="5" customWidth="1"/>
    <col min="6" max="6" width="14.44140625" style="2" customWidth="1"/>
    <col min="7" max="7" width="32.44140625" bestFit="1" customWidth="1"/>
    <col min="8" max="8" width="23" bestFit="1" customWidth="1"/>
    <col min="9" max="9" width="19.88671875" style="4" customWidth="1"/>
    <col min="10" max="10" width="17.44140625" customWidth="1"/>
    <col min="11" max="11" width="21.6640625" bestFit="1" customWidth="1"/>
    <col min="12" max="13" width="12.44140625" customWidth="1"/>
  </cols>
  <sheetData>
    <row r="1" spans="1:9" ht="29.05" x14ac:dyDescent="0.3">
      <c r="A1" s="1" t="s">
        <v>0</v>
      </c>
      <c r="B1" s="1" t="s">
        <v>1</v>
      </c>
      <c r="C1" s="1" t="s">
        <v>2</v>
      </c>
      <c r="D1" s="20" t="s">
        <v>3</v>
      </c>
      <c r="E1" s="5" t="s">
        <v>4</v>
      </c>
      <c r="F1" s="20" t="s">
        <v>5</v>
      </c>
      <c r="G1" t="s">
        <v>6</v>
      </c>
      <c r="H1" t="s">
        <v>7</v>
      </c>
      <c r="I1" s="4" t="s">
        <v>8</v>
      </c>
    </row>
    <row r="2" spans="1:9" x14ac:dyDescent="0.3">
      <c r="A2" s="2">
        <v>107639</v>
      </c>
      <c r="B2" t="s">
        <v>9</v>
      </c>
      <c r="C2" t="s">
        <v>10</v>
      </c>
      <c r="D2" t="str">
        <f>_xlfn.CONCAT(Tbl_Emp_Onboarding[[#This Row],[First Name]],".",Tbl_Emp_Onboarding[[#This Row],[Last Name]],"@saregama.com")</f>
        <v>Irwinn.Elfe@saregama.com</v>
      </c>
      <c r="E2" s="5">
        <v>32677</v>
      </c>
      <c r="F2" s="6">
        <f ca="1">RANDBETWEEN(0,6)+((TODAY() - 'Employee Onboarding'!E2)/365.25)</f>
        <v>37.310061601642715</v>
      </c>
      <c r="G2" t="s">
        <v>11</v>
      </c>
      <c r="H2" s="2" t="s">
        <v>12</v>
      </c>
      <c r="I2" s="13" t="s">
        <v>13</v>
      </c>
    </row>
    <row r="3" spans="1:9" x14ac:dyDescent="0.3">
      <c r="A3" s="2">
        <v>108675</v>
      </c>
      <c r="B3" t="s">
        <v>14</v>
      </c>
      <c r="C3" t="s">
        <v>15</v>
      </c>
      <c r="D3" t="str">
        <f>_xlfn.CONCAT(Tbl_Emp_Onboarding[[#This Row],[First Name]],".",Tbl_Emp_Onboarding[[#This Row],[Last Name]],"@saregama.com")</f>
        <v>Sibyl.Orvis@saregama.com</v>
      </c>
      <c r="E3" s="5">
        <v>41377</v>
      </c>
      <c r="F3" s="6">
        <f ca="1">RANDBETWEEN(0,6)+((TODAY() - 'Employee Onboarding'!E3)/365.25)</f>
        <v>8.49075975359343</v>
      </c>
      <c r="G3" t="s">
        <v>16</v>
      </c>
      <c r="H3" s="2" t="s">
        <v>17</v>
      </c>
      <c r="I3" s="13" t="s">
        <v>13</v>
      </c>
    </row>
    <row r="4" spans="1:9" x14ac:dyDescent="0.3">
      <c r="A4" s="2">
        <v>103679</v>
      </c>
      <c r="B4" t="s">
        <v>18</v>
      </c>
      <c r="C4" t="s">
        <v>19</v>
      </c>
      <c r="D4" t="str">
        <f>_xlfn.CONCAT(Tbl_Emp_Onboarding[[#This Row],[First Name]],".",Tbl_Emp_Onboarding[[#This Row],[Last Name]],"@saregama.com")</f>
        <v>Paule.Fernandes@saregama.com</v>
      </c>
      <c r="E4" s="5">
        <v>43581</v>
      </c>
      <c r="F4" s="6">
        <f ca="1">RANDBETWEEN(0,6)+((TODAY() - 'Employee Onboarding'!E4)/365.25)</f>
        <v>4.4565366187542779</v>
      </c>
      <c r="G4" t="s">
        <v>20</v>
      </c>
      <c r="H4" s="2" t="s">
        <v>21</v>
      </c>
      <c r="I4" s="13" t="s">
        <v>22</v>
      </c>
    </row>
    <row r="5" spans="1:9" x14ac:dyDescent="0.3">
      <c r="A5" s="2">
        <v>104511</v>
      </c>
      <c r="B5" t="s">
        <v>23</v>
      </c>
      <c r="C5" t="s">
        <v>24</v>
      </c>
      <c r="D5" t="str">
        <f>_xlfn.CONCAT(Tbl_Emp_Onboarding[[#This Row],[First Name]],".",Tbl_Emp_Onboarding[[#This Row],[Last Name]],"@saregama.com")</f>
        <v>Paul.Testo@saregama.com</v>
      </c>
      <c r="E5" s="5">
        <v>41330</v>
      </c>
      <c r="F5" s="6">
        <f ca="1">RANDBETWEEN(0,6)+((TODAY() - 'Employee Onboarding'!E5)/365.25)</f>
        <v>10.619438740588638</v>
      </c>
      <c r="G5" t="s">
        <v>25</v>
      </c>
      <c r="H5" s="2" t="s">
        <v>21</v>
      </c>
      <c r="I5" s="13" t="s">
        <v>22</v>
      </c>
    </row>
    <row r="6" spans="1:9" x14ac:dyDescent="0.3">
      <c r="A6" s="2">
        <v>105511</v>
      </c>
      <c r="B6" t="s">
        <v>26</v>
      </c>
      <c r="C6" t="s">
        <v>27</v>
      </c>
      <c r="D6" t="str">
        <f>_xlfn.CONCAT(Tbl_Emp_Onboarding[[#This Row],[First Name]],".",Tbl_Emp_Onboarding[[#This Row],[Last Name]],"@saregama.com")</f>
        <v>Maude.Bollins@saregama.com</v>
      </c>
      <c r="E6" s="5">
        <v>37764</v>
      </c>
      <c r="F6" s="6">
        <f ca="1">RANDBETWEEN(0,6)+((TODAY() - 'Employee Onboarding'!E6)/365.25)</f>
        <v>18.382614647501711</v>
      </c>
      <c r="G6" t="s">
        <v>28</v>
      </c>
      <c r="H6" s="2" t="s">
        <v>21</v>
      </c>
      <c r="I6" s="13" t="s">
        <v>22</v>
      </c>
    </row>
    <row r="7" spans="1:9" x14ac:dyDescent="0.3">
      <c r="A7" s="2">
        <v>103147</v>
      </c>
      <c r="B7" t="s">
        <v>29</v>
      </c>
      <c r="C7" t="s">
        <v>30</v>
      </c>
      <c r="D7" t="str">
        <f>_xlfn.CONCAT(Tbl_Emp_Onboarding[[#This Row],[First Name]],".",Tbl_Emp_Onboarding[[#This Row],[Last Name]],"@saregama.com")</f>
        <v>Georgeanna.Dowsing@saregama.com</v>
      </c>
      <c r="E7" s="5">
        <v>39489</v>
      </c>
      <c r="F7" s="6">
        <f ca="1">RANDBETWEEN(0,6)+((TODAY() - 'Employee Onboarding'!E7)/365.25)</f>
        <v>18.659822039698838</v>
      </c>
      <c r="G7" t="s">
        <v>31</v>
      </c>
      <c r="H7" s="2" t="s">
        <v>21</v>
      </c>
      <c r="I7" s="13" t="s">
        <v>22</v>
      </c>
    </row>
    <row r="8" spans="1:9" x14ac:dyDescent="0.3">
      <c r="A8" s="2">
        <v>103794</v>
      </c>
      <c r="B8" t="s">
        <v>32</v>
      </c>
      <c r="C8" t="s">
        <v>33</v>
      </c>
      <c r="D8" t="str">
        <f>_xlfn.CONCAT(Tbl_Emp_Onboarding[[#This Row],[First Name]],".",Tbl_Emp_Onboarding[[#This Row],[Last Name]],"@saregama.com")</f>
        <v>Shelley.Linzee@saregama.com</v>
      </c>
      <c r="E8" s="5">
        <v>40172</v>
      </c>
      <c r="F8" s="6">
        <f ca="1">RANDBETWEEN(0,6)+((TODAY() - 'Employee Onboarding'!E8)/365.25)</f>
        <v>16.789869952087614</v>
      </c>
      <c r="G8" t="s">
        <v>34</v>
      </c>
      <c r="H8" s="2" t="s">
        <v>12</v>
      </c>
      <c r="I8" s="13" t="s">
        <v>35</v>
      </c>
    </row>
    <row r="9" spans="1:9" x14ac:dyDescent="0.3">
      <c r="A9" s="2">
        <v>103793</v>
      </c>
      <c r="B9" t="s">
        <v>36</v>
      </c>
      <c r="C9" t="s">
        <v>37</v>
      </c>
      <c r="D9" t="str">
        <f>_xlfn.CONCAT(Tbl_Emp_Onboarding[[#This Row],[First Name]],".",Tbl_Emp_Onboarding[[#This Row],[Last Name]],"@saregama.com")</f>
        <v>Stevena.Hartfield@saregama.com</v>
      </c>
      <c r="E9" s="5">
        <v>40198</v>
      </c>
      <c r="F9" s="6">
        <f ca="1">RANDBETWEEN(0,6)+((TODAY() - 'Employee Onboarding'!E9)/365.25)</f>
        <v>10.718685831622176</v>
      </c>
      <c r="G9" t="s">
        <v>38</v>
      </c>
      <c r="H9" s="2" t="s">
        <v>12</v>
      </c>
      <c r="I9" s="13" t="s">
        <v>13</v>
      </c>
    </row>
    <row r="10" spans="1:9" x14ac:dyDescent="0.3">
      <c r="A10" s="2">
        <v>107878</v>
      </c>
      <c r="B10" t="s">
        <v>39</v>
      </c>
      <c r="C10" t="s">
        <v>40</v>
      </c>
      <c r="D10" t="str">
        <f>_xlfn.CONCAT(Tbl_Emp_Onboarding[[#This Row],[First Name]],".",Tbl_Emp_Onboarding[[#This Row],[Last Name]],"@saregama.com")</f>
        <v>Jobie.Craggs@saregama.com</v>
      </c>
      <c r="E10" s="5">
        <v>36786</v>
      </c>
      <c r="F10" s="6">
        <f ca="1">RANDBETWEEN(0,6)+((TODAY() - 'Employee Onboarding'!E10)/365.25)</f>
        <v>25.060232717316907</v>
      </c>
      <c r="G10" t="s">
        <v>41</v>
      </c>
      <c r="H10" s="2" t="s">
        <v>12</v>
      </c>
      <c r="I10" s="13" t="s">
        <v>42</v>
      </c>
    </row>
    <row r="11" spans="1:9" x14ac:dyDescent="0.3">
      <c r="A11" s="2">
        <v>106180</v>
      </c>
      <c r="B11" t="s">
        <v>43</v>
      </c>
      <c r="C11" t="s">
        <v>44</v>
      </c>
      <c r="D11" t="str">
        <f>_xlfn.CONCAT(Tbl_Emp_Onboarding[[#This Row],[First Name]],".",Tbl_Emp_Onboarding[[#This Row],[Last Name]],"@saregama.com")</f>
        <v>Ellen.Pirrone@saregama.com</v>
      </c>
      <c r="E11" s="5">
        <v>35274</v>
      </c>
      <c r="F11" s="6">
        <f ca="1">RANDBETWEEN(0,6)+((TODAY() - 'Employee Onboarding'!E11)/365.25)</f>
        <v>26.199863107460644</v>
      </c>
      <c r="G11" t="s">
        <v>45</v>
      </c>
      <c r="H11" s="2" t="s">
        <v>17</v>
      </c>
      <c r="I11" s="13" t="s">
        <v>46</v>
      </c>
    </row>
    <row r="12" spans="1:9" x14ac:dyDescent="0.3">
      <c r="A12" s="2">
        <v>103076</v>
      </c>
      <c r="B12" t="s">
        <v>47</v>
      </c>
      <c r="C12" t="s">
        <v>48</v>
      </c>
      <c r="D12" t="str">
        <f>_xlfn.CONCAT(Tbl_Emp_Onboarding[[#This Row],[First Name]],".",Tbl_Emp_Onboarding[[#This Row],[Last Name]],"@saregama.com")</f>
        <v>Karrah.Steptowe@saregama.com</v>
      </c>
      <c r="E12" s="5">
        <v>39500</v>
      </c>
      <c r="F12" s="6">
        <f ca="1">RANDBETWEEN(0,6)+((TODAY() - 'Employee Onboarding'!E12)/365.25)</f>
        <v>12.629705681040383</v>
      </c>
      <c r="G12" t="s">
        <v>49</v>
      </c>
      <c r="H12" s="2" t="s">
        <v>50</v>
      </c>
      <c r="I12" s="13" t="s">
        <v>51</v>
      </c>
    </row>
    <row r="13" spans="1:9" x14ac:dyDescent="0.3">
      <c r="A13" s="2">
        <v>107162</v>
      </c>
      <c r="B13" t="s">
        <v>52</v>
      </c>
      <c r="C13" t="s">
        <v>53</v>
      </c>
      <c r="D13" t="str">
        <f>_xlfn.CONCAT(Tbl_Emp_Onboarding[[#This Row],[First Name]],".",Tbl_Emp_Onboarding[[#This Row],[Last Name]],"@saregama.com")</f>
        <v>Griselda.Girardini@saregama.com</v>
      </c>
      <c r="E13" s="5">
        <v>42943</v>
      </c>
      <c r="F13" s="6">
        <f ca="1">RANDBETWEEN(0,6)+((TODAY() - 'Employee Onboarding'!E13)/365.25)</f>
        <v>9.2032854209445585</v>
      </c>
      <c r="G13" t="s">
        <v>54</v>
      </c>
      <c r="H13" s="2" t="s">
        <v>55</v>
      </c>
      <c r="I13" s="13" t="s">
        <v>22</v>
      </c>
    </row>
    <row r="14" spans="1:9" x14ac:dyDescent="0.3">
      <c r="A14" s="2">
        <v>106100</v>
      </c>
      <c r="B14" t="s">
        <v>56</v>
      </c>
      <c r="C14" t="s">
        <v>57</v>
      </c>
      <c r="D14" t="str">
        <f>_xlfn.CONCAT(Tbl_Emp_Onboarding[[#This Row],[First Name]],".",Tbl_Emp_Onboarding[[#This Row],[Last Name]],"@saregama.com")</f>
        <v>Andrea.Milesap@saregama.com</v>
      </c>
      <c r="E14" s="5">
        <v>43108</v>
      </c>
      <c r="F14" s="6">
        <f ca="1">RANDBETWEEN(0,6)+((TODAY() - 'Employee Onboarding'!E14)/365.25)</f>
        <v>3.751540041067762</v>
      </c>
      <c r="G14" t="s">
        <v>58</v>
      </c>
      <c r="H14" s="2" t="s">
        <v>55</v>
      </c>
      <c r="I14" s="13" t="s">
        <v>22</v>
      </c>
    </row>
    <row r="15" spans="1:9" x14ac:dyDescent="0.3">
      <c r="A15" s="2">
        <v>103241</v>
      </c>
      <c r="B15" t="s">
        <v>59</v>
      </c>
      <c r="C15" t="s">
        <v>60</v>
      </c>
      <c r="D15" t="str">
        <f>_xlfn.CONCAT(Tbl_Emp_Onboarding[[#This Row],[First Name]],".",Tbl_Emp_Onboarding[[#This Row],[Last Name]],"@saregama.com")</f>
        <v>Babara.Morrall@saregama.com</v>
      </c>
      <c r="E15" s="5">
        <v>32587</v>
      </c>
      <c r="F15" s="6">
        <f ca="1">RANDBETWEEN(0,6)+((TODAY() - 'Employee Onboarding'!E15)/365.25)</f>
        <v>32.5564681724846</v>
      </c>
      <c r="G15" t="s">
        <v>61</v>
      </c>
      <c r="H15" s="2" t="s">
        <v>62</v>
      </c>
      <c r="I15" s="13" t="s">
        <v>63</v>
      </c>
    </row>
    <row r="16" spans="1:9" x14ac:dyDescent="0.3">
      <c r="A16" s="2">
        <v>107986</v>
      </c>
      <c r="B16" t="s">
        <v>64</v>
      </c>
      <c r="C16" t="s">
        <v>65</v>
      </c>
      <c r="D16" t="str">
        <f>_xlfn.CONCAT(Tbl_Emp_Onboarding[[#This Row],[First Name]],".",Tbl_Emp_Onboarding[[#This Row],[Last Name]],"@saregama.com")</f>
        <v>Miran.Vasovic@saregama.com</v>
      </c>
      <c r="E16" s="5">
        <v>39856</v>
      </c>
      <c r="F16" s="6">
        <f ca="1">RANDBETWEEN(0,6)+((TODAY() - 'Employee Onboarding'!E16)/365.25)</f>
        <v>17.655030800821358</v>
      </c>
      <c r="G16" t="s">
        <v>66</v>
      </c>
      <c r="H16" s="2" t="s">
        <v>55</v>
      </c>
      <c r="I16" s="13" t="s">
        <v>22</v>
      </c>
    </row>
    <row r="17" spans="1:9" x14ac:dyDescent="0.3">
      <c r="A17" s="2">
        <v>104923</v>
      </c>
      <c r="B17" t="s">
        <v>67</v>
      </c>
      <c r="C17" t="s">
        <v>68</v>
      </c>
      <c r="D17" t="str">
        <f>_xlfn.CONCAT(Tbl_Emp_Onboarding[[#This Row],[First Name]],".",Tbl_Emp_Onboarding[[#This Row],[Last Name]],"@saregama.com")</f>
        <v>Sharity.Fyldes@saregama.com</v>
      </c>
      <c r="E17" s="5">
        <v>41389</v>
      </c>
      <c r="F17" s="6">
        <f ca="1">RANDBETWEEN(0,6)+((TODAY() - 'Employee Onboarding'!E17)/365.25)</f>
        <v>13.457905544147845</v>
      </c>
      <c r="G17" t="s">
        <v>69</v>
      </c>
      <c r="H17" s="2" t="s">
        <v>17</v>
      </c>
      <c r="I17" s="13" t="s">
        <v>13</v>
      </c>
    </row>
    <row r="18" spans="1:9" x14ac:dyDescent="0.3">
      <c r="A18" s="2">
        <v>102355</v>
      </c>
      <c r="B18" t="s">
        <v>70</v>
      </c>
      <c r="C18" t="s">
        <v>71</v>
      </c>
      <c r="D18" t="str">
        <f>_xlfn.CONCAT(Tbl_Emp_Onboarding[[#This Row],[First Name]],".",Tbl_Emp_Onboarding[[#This Row],[Last Name]],"@saregama.com")</f>
        <v>Kienan.Reary@saregama.com</v>
      </c>
      <c r="E18" s="5">
        <v>38545</v>
      </c>
      <c r="F18" s="6">
        <f ca="1">RANDBETWEEN(0,6)+((TODAY() - 'Employee Onboarding'!E18)/365.25)</f>
        <v>17.244353182751539</v>
      </c>
      <c r="G18" t="s">
        <v>72</v>
      </c>
      <c r="H18" s="2" t="s">
        <v>12</v>
      </c>
      <c r="I18" s="13" t="s">
        <v>13</v>
      </c>
    </row>
    <row r="19" spans="1:9" x14ac:dyDescent="0.3">
      <c r="A19" s="2">
        <v>103869</v>
      </c>
      <c r="B19" t="s">
        <v>73</v>
      </c>
      <c r="C19" t="s">
        <v>74</v>
      </c>
      <c r="D19" t="str">
        <f>_xlfn.CONCAT(Tbl_Emp_Onboarding[[#This Row],[First Name]],".",Tbl_Emp_Onboarding[[#This Row],[Last Name]],"@saregama.com")</f>
        <v>Normy.Scola@saregama.com</v>
      </c>
      <c r="E19" s="5">
        <v>40352</v>
      </c>
      <c r="F19" s="6">
        <f ca="1">RANDBETWEEN(0,6)+((TODAY() - 'Employee Onboarding'!E19)/365.25)</f>
        <v>16.297056810403831</v>
      </c>
      <c r="G19" t="s">
        <v>75</v>
      </c>
      <c r="H19" s="2" t="s">
        <v>17</v>
      </c>
      <c r="I19" s="13" t="s">
        <v>13</v>
      </c>
    </row>
    <row r="20" spans="1:9" x14ac:dyDescent="0.3">
      <c r="A20" s="2">
        <v>107114</v>
      </c>
      <c r="B20" t="s">
        <v>76</v>
      </c>
      <c r="C20" t="s">
        <v>77</v>
      </c>
      <c r="D20" t="str">
        <f>_xlfn.CONCAT(Tbl_Emp_Onboarding[[#This Row],[First Name]],".",Tbl_Emp_Onboarding[[#This Row],[Last Name]],"@saregama.com")</f>
        <v>Darline.Conibear@saregama.com</v>
      </c>
      <c r="E20" s="5">
        <v>41328</v>
      </c>
      <c r="F20" s="6">
        <f ca="1">RANDBETWEEN(0,6)+((TODAY() - 'Employee Onboarding'!E20)/365.25)</f>
        <v>7.6249144421629023</v>
      </c>
      <c r="G20" t="s">
        <v>78</v>
      </c>
      <c r="H20" s="2" t="s">
        <v>21</v>
      </c>
      <c r="I20" s="13" t="s">
        <v>22</v>
      </c>
    </row>
    <row r="21" spans="1:9" x14ac:dyDescent="0.3">
      <c r="A21" s="2">
        <v>107377</v>
      </c>
      <c r="B21" t="s">
        <v>79</v>
      </c>
      <c r="C21" t="s">
        <v>80</v>
      </c>
      <c r="D21" t="str">
        <f>_xlfn.CONCAT(Tbl_Emp_Onboarding[[#This Row],[First Name]],".",Tbl_Emp_Onboarding[[#This Row],[Last Name]],"@saregama.com")</f>
        <v>Doloritas.Hambleton@saregama.com</v>
      </c>
      <c r="E21" s="5">
        <v>42797</v>
      </c>
      <c r="F21" s="6">
        <f ca="1">RANDBETWEEN(0,6)+((TODAY() - 'Employee Onboarding'!E21)/365.25)</f>
        <v>9.6030116358658457</v>
      </c>
      <c r="G21" t="s">
        <v>81</v>
      </c>
      <c r="H21" s="2" t="s">
        <v>50</v>
      </c>
      <c r="I21" s="13" t="s">
        <v>63</v>
      </c>
    </row>
    <row r="22" spans="1:9" x14ac:dyDescent="0.3">
      <c r="A22" s="2">
        <v>102050</v>
      </c>
      <c r="B22" t="s">
        <v>82</v>
      </c>
      <c r="C22" t="s">
        <v>83</v>
      </c>
      <c r="D22" t="str">
        <f>_xlfn.CONCAT(Tbl_Emp_Onboarding[[#This Row],[First Name]],".",Tbl_Emp_Onboarding[[#This Row],[Last Name]],"@saregama.com")</f>
        <v>Martynne.De Filippis@saregama.com</v>
      </c>
      <c r="E22" s="5">
        <v>36618</v>
      </c>
      <c r="F22" s="6">
        <f ca="1">RANDBETWEEN(0,6)+((TODAY() - 'Employee Onboarding'!E22)/365.25)</f>
        <v>26.520191649555098</v>
      </c>
      <c r="G22" t="s">
        <v>84</v>
      </c>
      <c r="H22" s="2" t="s">
        <v>21</v>
      </c>
      <c r="I22" s="13" t="s">
        <v>85</v>
      </c>
    </row>
    <row r="23" spans="1:9" x14ac:dyDescent="0.3">
      <c r="A23" s="2">
        <v>105313</v>
      </c>
      <c r="B23" t="s">
        <v>86</v>
      </c>
      <c r="C23" t="s">
        <v>87</v>
      </c>
      <c r="D23" t="str">
        <f>_xlfn.CONCAT(Tbl_Emp_Onboarding[[#This Row],[First Name]],".",Tbl_Emp_Onboarding[[#This Row],[Last Name]],"@saregama.com")</f>
        <v>Devlen.Bentall@saregama.com</v>
      </c>
      <c r="E23" s="5">
        <v>42717</v>
      </c>
      <c r="F23" s="6">
        <f ca="1">RANDBETWEEN(0,6)+((TODAY() - 'Employee Onboarding'!E23)/365.25)</f>
        <v>9.8220396988364129</v>
      </c>
      <c r="G23" t="s">
        <v>88</v>
      </c>
      <c r="H23" s="2" t="s">
        <v>21</v>
      </c>
      <c r="I23" s="13" t="s">
        <v>22</v>
      </c>
    </row>
    <row r="24" spans="1:9" x14ac:dyDescent="0.3">
      <c r="A24" s="2">
        <v>106118</v>
      </c>
      <c r="B24" t="s">
        <v>89</v>
      </c>
      <c r="C24" t="s">
        <v>90</v>
      </c>
      <c r="D24" t="str">
        <f>_xlfn.CONCAT(Tbl_Emp_Onboarding[[#This Row],[First Name]],".",Tbl_Emp_Onboarding[[#This Row],[Last Name]],"@saregama.com")</f>
        <v>Sigismundo.Dunnett@saregama.com</v>
      </c>
      <c r="E24" s="5">
        <v>38478</v>
      </c>
      <c r="F24" s="6">
        <f ca="1">RANDBETWEEN(0,6)+((TODAY() - 'Employee Onboarding'!E24)/365.25)</f>
        <v>17.427789185489392</v>
      </c>
      <c r="G24" t="s">
        <v>91</v>
      </c>
      <c r="H24" s="2" t="s">
        <v>12</v>
      </c>
      <c r="I24" s="13" t="s">
        <v>42</v>
      </c>
    </row>
    <row r="25" spans="1:9" x14ac:dyDescent="0.3">
      <c r="A25" s="2">
        <v>103832</v>
      </c>
      <c r="B25" t="s">
        <v>92</v>
      </c>
      <c r="C25" t="s">
        <v>93</v>
      </c>
      <c r="D25" t="str">
        <f>_xlfn.CONCAT(Tbl_Emp_Onboarding[[#This Row],[First Name]],".",Tbl_Emp_Onboarding[[#This Row],[Last Name]],"@saregama.com")</f>
        <v>Tymon.Lamonby@saregama.com</v>
      </c>
      <c r="E25" s="5">
        <v>38047</v>
      </c>
      <c r="F25" s="6">
        <f ca="1">RANDBETWEEN(0,6)+((TODAY() - 'Employee Onboarding'!E25)/365.25)</f>
        <v>22.607802874743328</v>
      </c>
      <c r="G25" t="s">
        <v>94</v>
      </c>
      <c r="H25" s="2" t="s">
        <v>17</v>
      </c>
      <c r="I25" s="13" t="s">
        <v>46</v>
      </c>
    </row>
    <row r="26" spans="1:9" x14ac:dyDescent="0.3">
      <c r="A26" s="2">
        <v>107469</v>
      </c>
      <c r="B26" t="s">
        <v>95</v>
      </c>
      <c r="C26" t="s">
        <v>96</v>
      </c>
      <c r="D26" t="str">
        <f>_xlfn.CONCAT(Tbl_Emp_Onboarding[[#This Row],[First Name]],".",Tbl_Emp_Onboarding[[#This Row],[Last Name]],"@saregama.com")</f>
        <v>Clevey.Reville@saregama.com</v>
      </c>
      <c r="E26" s="5">
        <v>36156</v>
      </c>
      <c r="F26" s="6">
        <f ca="1">RANDBETWEEN(0,6)+((TODAY() - 'Employee Onboarding'!E26)/365.25)</f>
        <v>26.78507871321013</v>
      </c>
      <c r="G26" t="s">
        <v>97</v>
      </c>
      <c r="H26" s="2" t="s">
        <v>62</v>
      </c>
      <c r="I26" s="13" t="s">
        <v>63</v>
      </c>
    </row>
    <row r="27" spans="1:9" x14ac:dyDescent="0.3">
      <c r="A27" s="2">
        <v>106004</v>
      </c>
      <c r="B27" t="s">
        <v>98</v>
      </c>
      <c r="C27" t="s">
        <v>99</v>
      </c>
      <c r="D27" t="str">
        <f>_xlfn.CONCAT(Tbl_Emp_Onboarding[[#This Row],[First Name]],".",Tbl_Emp_Onboarding[[#This Row],[Last Name]],"@saregama.com")</f>
        <v>Julio.Colyer@saregama.com</v>
      </c>
      <c r="E27" s="5">
        <v>35903</v>
      </c>
      <c r="F27" s="6">
        <f ca="1">RANDBETWEEN(0,6)+((TODAY() - 'Employee Onboarding'!E27)/365.25)</f>
        <v>27.477754962354553</v>
      </c>
      <c r="G27" t="s">
        <v>100</v>
      </c>
      <c r="H27" s="2" t="s">
        <v>12</v>
      </c>
      <c r="I27" s="13" t="s">
        <v>42</v>
      </c>
    </row>
    <row r="28" spans="1:9" x14ac:dyDescent="0.3">
      <c r="A28" s="2">
        <v>104211</v>
      </c>
      <c r="B28" t="s">
        <v>101</v>
      </c>
      <c r="C28" t="s">
        <v>102</v>
      </c>
      <c r="D28" t="str">
        <f>_xlfn.CONCAT(Tbl_Emp_Onboarding[[#This Row],[First Name]],".",Tbl_Emp_Onboarding[[#This Row],[Last Name]],"@saregama.com")</f>
        <v>Lorelle.Wight@saregama.com</v>
      </c>
      <c r="E28" s="5">
        <v>37471</v>
      </c>
      <c r="F28" s="6">
        <f ca="1">RANDBETWEEN(0,6)+((TODAY() - 'Employee Onboarding'!E28)/365.25)</f>
        <v>23.184804928131417</v>
      </c>
      <c r="G28" t="s">
        <v>103</v>
      </c>
      <c r="H28" s="2" t="s">
        <v>17</v>
      </c>
      <c r="I28" s="13" t="s">
        <v>13</v>
      </c>
    </row>
    <row r="29" spans="1:9" x14ac:dyDescent="0.3">
      <c r="A29" s="2">
        <v>104750</v>
      </c>
      <c r="B29" t="s">
        <v>104</v>
      </c>
      <c r="C29" t="s">
        <v>105</v>
      </c>
      <c r="D29" t="str">
        <f>_xlfn.CONCAT(Tbl_Emp_Onboarding[[#This Row],[First Name]],".",Tbl_Emp_Onboarding[[#This Row],[Last Name]],"@saregama.com")</f>
        <v>Prince.Norvell@saregama.com</v>
      </c>
      <c r="E29" s="5">
        <v>32801</v>
      </c>
      <c r="F29" s="6">
        <f ca="1">RANDBETWEEN(0,6)+((TODAY() - 'Employee Onboarding'!E29)/365.25)</f>
        <v>33.970568104038328</v>
      </c>
      <c r="G29" t="s">
        <v>106</v>
      </c>
      <c r="H29" s="2" t="s">
        <v>12</v>
      </c>
      <c r="I29" s="13" t="s">
        <v>42</v>
      </c>
    </row>
    <row r="30" spans="1:9" x14ac:dyDescent="0.3">
      <c r="A30" s="2">
        <v>103841</v>
      </c>
      <c r="B30" t="s">
        <v>107</v>
      </c>
      <c r="C30" t="s">
        <v>108</v>
      </c>
      <c r="D30" t="str">
        <f>_xlfn.CONCAT(Tbl_Emp_Onboarding[[#This Row],[First Name]],".",Tbl_Emp_Onboarding[[#This Row],[Last Name]],"@saregama.com")</f>
        <v>Timi.Van de Vlies@saregama.com</v>
      </c>
      <c r="E30" s="5">
        <v>42922</v>
      </c>
      <c r="F30" s="6">
        <f ca="1">RANDBETWEEN(0,6)+((TODAY() - 'Employee Onboarding'!E30)/365.25)</f>
        <v>3.2607802874743328</v>
      </c>
      <c r="G30" t="s">
        <v>109</v>
      </c>
      <c r="H30" s="2" t="s">
        <v>21</v>
      </c>
      <c r="I30" s="13" t="s">
        <v>22</v>
      </c>
    </row>
    <row r="31" spans="1:9" x14ac:dyDescent="0.3">
      <c r="A31" s="2">
        <v>104352</v>
      </c>
      <c r="B31" t="s">
        <v>110</v>
      </c>
      <c r="C31" t="s">
        <v>111</v>
      </c>
      <c r="D31" t="str">
        <f>_xlfn.CONCAT(Tbl_Emp_Onboarding[[#This Row],[First Name]],".",Tbl_Emp_Onboarding[[#This Row],[Last Name]],"@saregama.com")</f>
        <v>Doe.Heffernon@saregama.com</v>
      </c>
      <c r="E31" s="5">
        <v>30642</v>
      </c>
      <c r="F31" s="6">
        <f ca="1">RANDBETWEEN(0,6)+((TODAY() - 'Employee Onboarding'!E31)/365.25)</f>
        <v>39.881587953456538</v>
      </c>
      <c r="G31" t="s">
        <v>112</v>
      </c>
      <c r="H31" s="2" t="s">
        <v>12</v>
      </c>
      <c r="I31" s="13" t="s">
        <v>113</v>
      </c>
    </row>
    <row r="32" spans="1:9" x14ac:dyDescent="0.3">
      <c r="A32" s="2">
        <v>105171</v>
      </c>
      <c r="B32" t="s">
        <v>114</v>
      </c>
      <c r="C32" t="s">
        <v>115</v>
      </c>
      <c r="D32" t="str">
        <f>_xlfn.CONCAT(Tbl_Emp_Onboarding[[#This Row],[First Name]],".",Tbl_Emp_Onboarding[[#This Row],[Last Name]],"@saregama.com")</f>
        <v>Marci.Pilgram@saregama.com</v>
      </c>
      <c r="E32" s="5">
        <v>42758</v>
      </c>
      <c r="F32" s="6">
        <f ca="1">RANDBETWEEN(0,6)+((TODAY() - 'Employee Onboarding'!E32)/365.25)</f>
        <v>9.7097878165639973</v>
      </c>
      <c r="G32" t="s">
        <v>116</v>
      </c>
      <c r="H32" s="2" t="s">
        <v>50</v>
      </c>
      <c r="I32" s="13" t="s">
        <v>51</v>
      </c>
    </row>
    <row r="33" spans="1:9" x14ac:dyDescent="0.3">
      <c r="A33" s="2">
        <v>102504</v>
      </c>
      <c r="B33" t="s">
        <v>117</v>
      </c>
      <c r="C33" t="s">
        <v>118</v>
      </c>
      <c r="D33" t="str">
        <f>_xlfn.CONCAT(Tbl_Emp_Onboarding[[#This Row],[First Name]],".",Tbl_Emp_Onboarding[[#This Row],[Last Name]],"@saregama.com")</f>
        <v>Nealy.Gasnoll@saregama.com</v>
      </c>
      <c r="E33" s="5">
        <v>38628</v>
      </c>
      <c r="F33" s="6">
        <f ca="1">RANDBETWEEN(0,6)+((TODAY() - 'Employee Onboarding'!E33)/365.25)</f>
        <v>21.017111567419576</v>
      </c>
      <c r="G33" t="s">
        <v>119</v>
      </c>
      <c r="H33" s="2" t="s">
        <v>62</v>
      </c>
      <c r="I33" s="13" t="s">
        <v>63</v>
      </c>
    </row>
    <row r="34" spans="1:9" x14ac:dyDescent="0.3">
      <c r="A34" s="2">
        <v>102130</v>
      </c>
      <c r="B34" t="s">
        <v>120</v>
      </c>
      <c r="C34" t="s">
        <v>121</v>
      </c>
      <c r="D34" t="str">
        <f>_xlfn.CONCAT(Tbl_Emp_Onboarding[[#This Row],[First Name]],".",Tbl_Emp_Onboarding[[#This Row],[Last Name]],"@saregama.com")</f>
        <v>Delainey.Meir@saregama.com</v>
      </c>
      <c r="E34" s="5">
        <v>38510</v>
      </c>
      <c r="F34" s="6">
        <f ca="1">RANDBETWEEN(0,6)+((TODAY() - 'Employee Onboarding'!E34)/365.25)</f>
        <v>16.340177960301162</v>
      </c>
      <c r="G34" t="s">
        <v>122</v>
      </c>
      <c r="H34" s="2" t="s">
        <v>55</v>
      </c>
      <c r="I34" s="13" t="s">
        <v>22</v>
      </c>
    </row>
    <row r="35" spans="1:9" x14ac:dyDescent="0.3">
      <c r="A35" s="2">
        <v>106263</v>
      </c>
      <c r="B35" t="s">
        <v>123</v>
      </c>
      <c r="C35" t="s">
        <v>124</v>
      </c>
      <c r="D35" t="str">
        <f>_xlfn.CONCAT(Tbl_Emp_Onboarding[[#This Row],[First Name]],".",Tbl_Emp_Onboarding[[#This Row],[Last Name]],"@saregama.com")</f>
        <v>Elvera.Adolfsen@saregama.com</v>
      </c>
      <c r="E35" s="5">
        <v>33210</v>
      </c>
      <c r="F35" s="6">
        <f ca="1">RANDBETWEEN(0,6)+((TODAY() - 'Employee Onboarding'!E35)/365.25)</f>
        <v>31.850787132101299</v>
      </c>
      <c r="G35" t="s">
        <v>125</v>
      </c>
      <c r="H35" s="2" t="s">
        <v>55</v>
      </c>
      <c r="I35" s="13" t="s">
        <v>46</v>
      </c>
    </row>
    <row r="36" spans="1:9" x14ac:dyDescent="0.3">
      <c r="A36" s="2">
        <v>105304</v>
      </c>
      <c r="B36" t="s">
        <v>126</v>
      </c>
      <c r="C36" t="s">
        <v>127</v>
      </c>
      <c r="D36" t="str">
        <f>_xlfn.CONCAT(Tbl_Emp_Onboarding[[#This Row],[First Name]],".",Tbl_Emp_Onboarding[[#This Row],[Last Name]],"@saregama.com")</f>
        <v>Trstram.Paniman@saregama.com</v>
      </c>
      <c r="E36" s="5">
        <v>36953</v>
      </c>
      <c r="F36" s="6">
        <f ca="1">RANDBETWEEN(0,6)+((TODAY() - 'Employee Onboarding'!E36)/365.25)</f>
        <v>20.603011635865844</v>
      </c>
      <c r="G36" t="s">
        <v>128</v>
      </c>
      <c r="H36" s="2" t="s">
        <v>50</v>
      </c>
      <c r="I36" s="13" t="s">
        <v>129</v>
      </c>
    </row>
    <row r="37" spans="1:9" x14ac:dyDescent="0.3">
      <c r="A37" s="2">
        <v>103004</v>
      </c>
      <c r="B37" t="s">
        <v>130</v>
      </c>
      <c r="C37" t="s">
        <v>131</v>
      </c>
      <c r="D37" t="str">
        <f>_xlfn.CONCAT(Tbl_Emp_Onboarding[[#This Row],[First Name]],".",Tbl_Emp_Onboarding[[#This Row],[Last Name]],"@saregama.com")</f>
        <v>Annice.Eykelbosch@saregama.com</v>
      </c>
      <c r="E37" s="5">
        <v>38690</v>
      </c>
      <c r="F37" s="6">
        <f ca="1">RANDBETWEEN(0,6)+((TODAY() - 'Employee Onboarding'!E37)/365.25)</f>
        <v>19.847364818617386</v>
      </c>
      <c r="G37" t="s">
        <v>132</v>
      </c>
      <c r="H37" s="2" t="s">
        <v>12</v>
      </c>
      <c r="I37" s="13" t="s">
        <v>42</v>
      </c>
    </row>
    <row r="38" spans="1:9" x14ac:dyDescent="0.3">
      <c r="A38" s="2">
        <v>103734</v>
      </c>
      <c r="B38" t="s">
        <v>133</v>
      </c>
      <c r="C38" t="s">
        <v>134</v>
      </c>
      <c r="D38" t="str">
        <f>_xlfn.CONCAT(Tbl_Emp_Onboarding[[#This Row],[First Name]],".",Tbl_Emp_Onboarding[[#This Row],[Last Name]],"@saregama.com")</f>
        <v>Ninnette.Stansall@saregama.com</v>
      </c>
      <c r="E38" s="5">
        <v>38822</v>
      </c>
      <c r="F38" s="6">
        <f ca="1">RANDBETWEEN(0,6)+((TODAY() - 'Employee Onboarding'!E38)/365.25)</f>
        <v>19.48596851471595</v>
      </c>
      <c r="G38" t="s">
        <v>135</v>
      </c>
      <c r="H38" s="2" t="s">
        <v>12</v>
      </c>
      <c r="I38" s="13" t="s">
        <v>42</v>
      </c>
    </row>
    <row r="39" spans="1:9" x14ac:dyDescent="0.3">
      <c r="A39" s="2">
        <v>102501</v>
      </c>
      <c r="B39" t="s">
        <v>136</v>
      </c>
      <c r="C39" t="s">
        <v>137</v>
      </c>
      <c r="D39" t="str">
        <f>_xlfn.CONCAT(Tbl_Emp_Onboarding[[#This Row],[First Name]],".",Tbl_Emp_Onboarding[[#This Row],[Last Name]],"@saregama.com")</f>
        <v>Bartholomeo.Bottomore@saregama.com</v>
      </c>
      <c r="E39" s="5">
        <v>43591</v>
      </c>
      <c r="F39" s="6">
        <f ca="1">RANDBETWEEN(0,6)+((TODAY() - 'Employee Onboarding'!E39)/365.25)</f>
        <v>6.4291581108829572</v>
      </c>
      <c r="G39" t="s">
        <v>138</v>
      </c>
      <c r="H39" s="2" t="s">
        <v>55</v>
      </c>
      <c r="I39" s="13" t="s">
        <v>22</v>
      </c>
    </row>
    <row r="40" spans="1:9" x14ac:dyDescent="0.3">
      <c r="A40" s="2">
        <v>107791</v>
      </c>
      <c r="B40" t="s">
        <v>139</v>
      </c>
      <c r="C40" t="s">
        <v>140</v>
      </c>
      <c r="D40" t="str">
        <f>_xlfn.CONCAT(Tbl_Emp_Onboarding[[#This Row],[First Name]],".",Tbl_Emp_Onboarding[[#This Row],[Last Name]],"@saregama.com")</f>
        <v>Sawyere.Ebertz@saregama.com</v>
      </c>
      <c r="E40" s="5">
        <v>41221</v>
      </c>
      <c r="F40" s="6">
        <f ca="1">RANDBETWEEN(0,6)+((TODAY() - 'Employee Onboarding'!E40)/365.25)</f>
        <v>8.9178644763860362</v>
      </c>
      <c r="G40" t="s">
        <v>141</v>
      </c>
      <c r="H40" s="2" t="s">
        <v>62</v>
      </c>
      <c r="I40" s="13" t="s">
        <v>63</v>
      </c>
    </row>
    <row r="41" spans="1:9" x14ac:dyDescent="0.3">
      <c r="A41" s="2">
        <v>106870</v>
      </c>
      <c r="B41" t="s">
        <v>142</v>
      </c>
      <c r="C41" t="s">
        <v>143</v>
      </c>
      <c r="D41" t="str">
        <f>_xlfn.CONCAT(Tbl_Emp_Onboarding[[#This Row],[First Name]],".",Tbl_Emp_Onboarding[[#This Row],[Last Name]],"@saregama.com")</f>
        <v>Alberik.Denton@saregama.com</v>
      </c>
      <c r="E41" s="5">
        <v>42238</v>
      </c>
      <c r="F41" s="6">
        <f ca="1">RANDBETWEEN(0,6)+((TODAY() - 'Employee Onboarding'!E41)/365.25)</f>
        <v>8.1334702258726903</v>
      </c>
      <c r="G41" t="s">
        <v>144</v>
      </c>
      <c r="H41" s="2" t="s">
        <v>50</v>
      </c>
      <c r="I41" s="13" t="s">
        <v>63</v>
      </c>
    </row>
    <row r="42" spans="1:9" x14ac:dyDescent="0.3">
      <c r="A42" s="2">
        <v>107149</v>
      </c>
      <c r="B42" t="s">
        <v>145</v>
      </c>
      <c r="C42" t="s">
        <v>146</v>
      </c>
      <c r="D42" t="str">
        <f>_xlfn.CONCAT(Tbl_Emp_Onboarding[[#This Row],[First Name]],".",Tbl_Emp_Onboarding[[#This Row],[Last Name]],"@saregama.com")</f>
        <v>Nesta.Beccles@saregama.com</v>
      </c>
      <c r="E42" s="5">
        <v>43622</v>
      </c>
      <c r="F42" s="6">
        <f ca="1">RANDBETWEEN(0,6)+((TODAY() - 'Employee Onboarding'!E42)/365.25)</f>
        <v>7.3442847364818622</v>
      </c>
      <c r="G42" t="s">
        <v>147</v>
      </c>
      <c r="H42" s="2" t="s">
        <v>21</v>
      </c>
      <c r="I42" s="13" t="s">
        <v>22</v>
      </c>
    </row>
    <row r="43" spans="1:9" x14ac:dyDescent="0.3">
      <c r="A43" s="2">
        <v>103337</v>
      </c>
      <c r="B43" t="s">
        <v>148</v>
      </c>
      <c r="C43" t="s">
        <v>149</v>
      </c>
      <c r="D43" t="str">
        <f>_xlfn.CONCAT(Tbl_Emp_Onboarding[[#This Row],[First Name]],".",Tbl_Emp_Onboarding[[#This Row],[Last Name]],"@saregama.com")</f>
        <v>Libbi.O'Farris@saregama.com</v>
      </c>
      <c r="E43" s="5">
        <v>41886</v>
      </c>
      <c r="F43" s="6">
        <f ca="1">RANDBETWEEN(0,6)+((TODAY() - 'Employee Onboarding'!E43)/365.25)</f>
        <v>9.0971937029431906</v>
      </c>
      <c r="G43" t="s">
        <v>150</v>
      </c>
      <c r="H43" s="2" t="s">
        <v>50</v>
      </c>
      <c r="I43" s="13" t="s">
        <v>63</v>
      </c>
    </row>
    <row r="44" spans="1:9" x14ac:dyDescent="0.3">
      <c r="A44" s="2">
        <v>106089</v>
      </c>
      <c r="B44" t="s">
        <v>151</v>
      </c>
      <c r="C44" t="s">
        <v>152</v>
      </c>
      <c r="D44" t="str">
        <f>_xlfn.CONCAT(Tbl_Emp_Onboarding[[#This Row],[First Name]],".",Tbl_Emp_Onboarding[[#This Row],[Last Name]],"@saregama.com")</f>
        <v>Shay.Valti@saregama.com</v>
      </c>
      <c r="E44" s="5">
        <v>34398</v>
      </c>
      <c r="F44" s="6">
        <f ca="1">RANDBETWEEN(0,6)+((TODAY() - 'Employee Onboarding'!E44)/365.25)</f>
        <v>26.598220396988363</v>
      </c>
      <c r="G44" t="s">
        <v>153</v>
      </c>
      <c r="H44" s="2" t="s">
        <v>12</v>
      </c>
      <c r="I44" s="13" t="s">
        <v>42</v>
      </c>
    </row>
    <row r="45" spans="1:9" x14ac:dyDescent="0.3">
      <c r="A45" s="2">
        <v>102817</v>
      </c>
      <c r="B45" t="s">
        <v>154</v>
      </c>
      <c r="C45" t="s">
        <v>155</v>
      </c>
      <c r="D45" t="str">
        <f>_xlfn.CONCAT(Tbl_Emp_Onboarding[[#This Row],[First Name]],".",Tbl_Emp_Onboarding[[#This Row],[Last Name]],"@saregama.com")</f>
        <v>Clari.Milkins@saregama.com</v>
      </c>
      <c r="E45" s="5">
        <v>43258</v>
      </c>
      <c r="F45" s="6">
        <f ca="1">RANDBETWEEN(0,6)+((TODAY() - 'Employee Onboarding'!E45)/365.25)</f>
        <v>6.3408624229979464</v>
      </c>
      <c r="G45" t="s">
        <v>156</v>
      </c>
      <c r="H45" s="2" t="s">
        <v>55</v>
      </c>
      <c r="I45" s="13" t="s">
        <v>22</v>
      </c>
    </row>
    <row r="46" spans="1:9" x14ac:dyDescent="0.3">
      <c r="A46" s="2">
        <v>102471</v>
      </c>
      <c r="B46" t="s">
        <v>157</v>
      </c>
      <c r="C46" t="s">
        <v>158</v>
      </c>
      <c r="D46" t="str">
        <f>_xlfn.CONCAT(Tbl_Emp_Onboarding[[#This Row],[First Name]],".",Tbl_Emp_Onboarding[[#This Row],[Last Name]],"@saregama.com")</f>
        <v>Deni.Perrinchief@saregama.com</v>
      </c>
      <c r="E46" s="5">
        <v>41386</v>
      </c>
      <c r="F46" s="6">
        <f ca="1">RANDBETWEEN(0,6)+((TODAY() - 'Employee Onboarding'!E46)/365.25)</f>
        <v>8.4661190965092405</v>
      </c>
      <c r="G46" t="s">
        <v>159</v>
      </c>
      <c r="H46" s="2" t="s">
        <v>12</v>
      </c>
      <c r="I46" s="13" t="s">
        <v>35</v>
      </c>
    </row>
    <row r="47" spans="1:9" x14ac:dyDescent="0.3">
      <c r="A47" s="2">
        <v>102200</v>
      </c>
      <c r="B47" t="s">
        <v>160</v>
      </c>
      <c r="C47" t="s">
        <v>161</v>
      </c>
      <c r="D47" t="str">
        <f>_xlfn.CONCAT(Tbl_Emp_Onboarding[[#This Row],[First Name]],".",Tbl_Emp_Onboarding[[#This Row],[Last Name]],"@saregama.com")</f>
        <v>Celisse.Suthworth@saregama.com</v>
      </c>
      <c r="E47" s="5">
        <v>36482</v>
      </c>
      <c r="F47" s="6">
        <f ca="1">RANDBETWEEN(0,6)+((TODAY() - 'Employee Onboarding'!E47)/365.25)</f>
        <v>22.892539356605067</v>
      </c>
      <c r="G47" t="s">
        <v>162</v>
      </c>
      <c r="H47" s="2" t="s">
        <v>12</v>
      </c>
      <c r="I47" s="13" t="s">
        <v>13</v>
      </c>
    </row>
    <row r="48" spans="1:9" x14ac:dyDescent="0.3">
      <c r="A48" s="2">
        <v>107927</v>
      </c>
      <c r="B48" t="s">
        <v>163</v>
      </c>
      <c r="C48" t="s">
        <v>164</v>
      </c>
      <c r="D48" t="str">
        <f>_xlfn.CONCAT(Tbl_Emp_Onboarding[[#This Row],[First Name]],".",Tbl_Emp_Onboarding[[#This Row],[Last Name]],"@saregama.com")</f>
        <v>Derrik.Gaber@saregama.com</v>
      </c>
      <c r="E48" s="5">
        <v>33660</v>
      </c>
      <c r="F48" s="6">
        <f ca="1">RANDBETWEEN(0,6)+((TODAY() - 'Employee Onboarding'!E48)/365.25)</f>
        <v>31.618754277891856</v>
      </c>
      <c r="G48" t="s">
        <v>165</v>
      </c>
      <c r="H48" s="2" t="s">
        <v>55</v>
      </c>
      <c r="I48" s="13" t="s">
        <v>85</v>
      </c>
    </row>
    <row r="49" spans="1:9" x14ac:dyDescent="0.3">
      <c r="A49" s="2">
        <v>103988</v>
      </c>
      <c r="B49" t="s">
        <v>166</v>
      </c>
      <c r="C49" t="s">
        <v>167</v>
      </c>
      <c r="D49" t="str">
        <f>_xlfn.CONCAT(Tbl_Emp_Onboarding[[#This Row],[First Name]],".",Tbl_Emp_Onboarding[[#This Row],[Last Name]],"@saregama.com")</f>
        <v>Rayna.Drioli@saregama.com</v>
      </c>
      <c r="E49" s="5">
        <v>40914</v>
      </c>
      <c r="F49" s="6">
        <f ca="1">RANDBETWEEN(0,6)+((TODAY() - 'Employee Onboarding'!E49)/365.25)</f>
        <v>10.758384668035593</v>
      </c>
      <c r="G49" t="s">
        <v>168</v>
      </c>
      <c r="H49" s="2" t="s">
        <v>55</v>
      </c>
      <c r="I49" s="13" t="s">
        <v>22</v>
      </c>
    </row>
    <row r="50" spans="1:9" x14ac:dyDescent="0.3">
      <c r="A50" s="2">
        <v>102641</v>
      </c>
      <c r="B50" t="s">
        <v>169</v>
      </c>
      <c r="C50" t="s">
        <v>170</v>
      </c>
      <c r="D50" t="str">
        <f>_xlfn.CONCAT(Tbl_Emp_Onboarding[[#This Row],[First Name]],".",Tbl_Emp_Onboarding[[#This Row],[Last Name]],"@saregama.com")</f>
        <v>Celestyna.Penvarne@saregama.com</v>
      </c>
      <c r="E50" s="5">
        <v>39129</v>
      </c>
      <c r="F50" s="6">
        <f ca="1">RANDBETWEEN(0,6)+((TODAY() - 'Employee Onboarding'!E50)/365.25)</f>
        <v>18.645448323066393</v>
      </c>
      <c r="G50" t="s">
        <v>171</v>
      </c>
      <c r="H50" s="2" t="s">
        <v>21</v>
      </c>
      <c r="I50" s="13" t="s">
        <v>85</v>
      </c>
    </row>
    <row r="51" spans="1:9" x14ac:dyDescent="0.3">
      <c r="A51" s="2">
        <v>105108</v>
      </c>
      <c r="B51" t="s">
        <v>172</v>
      </c>
      <c r="C51" t="s">
        <v>173</v>
      </c>
      <c r="D51" t="str">
        <f>_xlfn.CONCAT(Tbl_Emp_Onboarding[[#This Row],[First Name]],".",Tbl_Emp_Onboarding[[#This Row],[Last Name]],"@saregama.com")</f>
        <v>Gaven.Sindle@saregama.com</v>
      </c>
      <c r="E51" s="5">
        <v>43165</v>
      </c>
      <c r="F51" s="6">
        <f ca="1">RANDBETWEEN(0,6)+((TODAY() - 'Employee Onboarding'!E51)/365.25)</f>
        <v>8.5954825462012323</v>
      </c>
      <c r="G51" t="s">
        <v>174</v>
      </c>
      <c r="H51" s="2" t="s">
        <v>12</v>
      </c>
      <c r="I51" s="13" t="s">
        <v>13</v>
      </c>
    </row>
    <row r="52" spans="1:9" x14ac:dyDescent="0.3">
      <c r="A52" s="2">
        <v>102988</v>
      </c>
      <c r="B52" t="s">
        <v>175</v>
      </c>
      <c r="C52" t="s">
        <v>176</v>
      </c>
      <c r="D52" t="str">
        <f>_xlfn.CONCAT(Tbl_Emp_Onboarding[[#This Row],[First Name]],".",Tbl_Emp_Onboarding[[#This Row],[Last Name]],"@saregama.com")</f>
        <v>Mirabel.Storrie@saregama.com</v>
      </c>
      <c r="E52" s="5">
        <v>36710</v>
      </c>
      <c r="F52" s="6">
        <f ca="1">RANDBETWEEN(0,6)+((TODAY() - 'Employee Onboarding'!E52)/365.25)</f>
        <v>21.268309377138944</v>
      </c>
      <c r="G52" t="s">
        <v>177</v>
      </c>
      <c r="H52" s="2" t="s">
        <v>21</v>
      </c>
      <c r="I52" s="13" t="s">
        <v>85</v>
      </c>
    </row>
    <row r="53" spans="1:9" x14ac:dyDescent="0.3">
      <c r="A53" s="2">
        <v>106839</v>
      </c>
      <c r="B53" t="s">
        <v>178</v>
      </c>
      <c r="C53" t="s">
        <v>179</v>
      </c>
      <c r="D53" t="str">
        <f>_xlfn.CONCAT(Tbl_Emp_Onboarding[[#This Row],[First Name]],".",Tbl_Emp_Onboarding[[#This Row],[Last Name]],"@saregama.com")</f>
        <v>Blair.Duiguid@saregama.com</v>
      </c>
      <c r="E53" s="5">
        <v>39234</v>
      </c>
      <c r="F53" s="6">
        <f ca="1">RANDBETWEEN(0,6)+((TODAY() - 'Employee Onboarding'!E53)/365.25)</f>
        <v>15.357973990417522</v>
      </c>
      <c r="G53" t="s">
        <v>180</v>
      </c>
      <c r="H53" s="2" t="s">
        <v>12</v>
      </c>
      <c r="I53" s="13" t="s">
        <v>46</v>
      </c>
    </row>
    <row r="54" spans="1:9" x14ac:dyDescent="0.3">
      <c r="A54" s="2">
        <v>102987</v>
      </c>
      <c r="B54" t="s">
        <v>181</v>
      </c>
      <c r="C54" t="s">
        <v>182</v>
      </c>
      <c r="D54" t="str">
        <f>_xlfn.CONCAT(Tbl_Emp_Onboarding[[#This Row],[First Name]],".",Tbl_Emp_Onboarding[[#This Row],[Last Name]],"@saregama.com")</f>
        <v>Skyler.Sanger@saregama.com</v>
      </c>
      <c r="E54" s="5">
        <v>37353</v>
      </c>
      <c r="F54" s="6">
        <f ca="1">RANDBETWEEN(0,6)+((TODAY() - 'Employee Onboarding'!E54)/365.25)</f>
        <v>19.507871321013006</v>
      </c>
      <c r="G54" t="s">
        <v>183</v>
      </c>
      <c r="H54" s="2" t="s">
        <v>17</v>
      </c>
      <c r="I54" s="13" t="s">
        <v>113</v>
      </c>
    </row>
    <row r="55" spans="1:9" x14ac:dyDescent="0.3">
      <c r="A55" s="2">
        <v>105840</v>
      </c>
      <c r="B55" t="s">
        <v>184</v>
      </c>
      <c r="C55" t="s">
        <v>185</v>
      </c>
      <c r="D55" t="str">
        <f>_xlfn.CONCAT(Tbl_Emp_Onboarding[[#This Row],[First Name]],".",Tbl_Emp_Onboarding[[#This Row],[Last Name]],"@saregama.com")</f>
        <v>Michal.Bradtke@saregama.com</v>
      </c>
      <c r="E55" s="5">
        <v>37566</v>
      </c>
      <c r="F55" s="6">
        <f ca="1">RANDBETWEEN(0,6)+((TODAY() - 'Employee Onboarding'!E55)/365.25)</f>
        <v>20.924709103353866</v>
      </c>
      <c r="G55" t="s">
        <v>186</v>
      </c>
      <c r="H55" s="2" t="s">
        <v>55</v>
      </c>
      <c r="I55" s="13" t="s">
        <v>22</v>
      </c>
    </row>
    <row r="56" spans="1:9" x14ac:dyDescent="0.3">
      <c r="A56" s="2">
        <v>107461</v>
      </c>
      <c r="B56" t="s">
        <v>187</v>
      </c>
      <c r="C56" t="s">
        <v>188</v>
      </c>
      <c r="D56" t="str">
        <f>_xlfn.CONCAT(Tbl_Emp_Onboarding[[#This Row],[First Name]],".",Tbl_Emp_Onboarding[[#This Row],[Last Name]],"@saregama.com")</f>
        <v>Karil.Nassi@saregama.com</v>
      </c>
      <c r="E56" s="5">
        <v>41522</v>
      </c>
      <c r="F56" s="6">
        <f ca="1">RANDBETWEEN(0,6)+((TODAY() - 'Employee Onboarding'!E56)/365.25)</f>
        <v>8.093771389459274</v>
      </c>
      <c r="G56" t="s">
        <v>189</v>
      </c>
      <c r="H56" s="2" t="s">
        <v>12</v>
      </c>
      <c r="I56" s="13" t="s">
        <v>13</v>
      </c>
    </row>
    <row r="57" spans="1:9" x14ac:dyDescent="0.3">
      <c r="A57" s="2">
        <v>106009</v>
      </c>
      <c r="B57" t="s">
        <v>190</v>
      </c>
      <c r="C57" t="s">
        <v>191</v>
      </c>
      <c r="D57" t="str">
        <f>_xlfn.CONCAT(Tbl_Emp_Onboarding[[#This Row],[First Name]],".",Tbl_Emp_Onboarding[[#This Row],[Last Name]],"@saregama.com")</f>
        <v>Gratia.Hackford@saregama.com</v>
      </c>
      <c r="E57" s="5">
        <v>37060</v>
      </c>
      <c r="F57" s="6">
        <f ca="1">RANDBETWEEN(0,6)+((TODAY() - 'Employee Onboarding'!E57)/365.25)</f>
        <v>22.310061601642712</v>
      </c>
      <c r="G57" t="s">
        <v>192</v>
      </c>
      <c r="H57" s="2" t="s">
        <v>62</v>
      </c>
      <c r="I57" s="13" t="s">
        <v>129</v>
      </c>
    </row>
    <row r="58" spans="1:9" x14ac:dyDescent="0.3">
      <c r="A58" s="2">
        <v>105007</v>
      </c>
      <c r="B58" t="s">
        <v>193</v>
      </c>
      <c r="C58" t="s">
        <v>194</v>
      </c>
      <c r="D58" t="str">
        <f>_xlfn.CONCAT(Tbl_Emp_Onboarding[[#This Row],[First Name]],".",Tbl_Emp_Onboarding[[#This Row],[Last Name]],"@saregama.com")</f>
        <v>Dwain.Pentecust@saregama.com</v>
      </c>
      <c r="E58" s="5">
        <v>38504</v>
      </c>
      <c r="F58" s="6">
        <f ca="1">RANDBETWEEN(0,6)+((TODAY() - 'Employee Onboarding'!E58)/365.25)</f>
        <v>17.356605065023956</v>
      </c>
      <c r="G58" t="s">
        <v>195</v>
      </c>
      <c r="H58" s="2" t="s">
        <v>21</v>
      </c>
      <c r="I58" s="13" t="s">
        <v>85</v>
      </c>
    </row>
    <row r="59" spans="1:9" x14ac:dyDescent="0.3">
      <c r="A59" s="2">
        <v>103947</v>
      </c>
      <c r="B59" t="s">
        <v>196</v>
      </c>
      <c r="C59" t="s">
        <v>197</v>
      </c>
      <c r="D59" t="str">
        <f>_xlfn.CONCAT(Tbl_Emp_Onboarding[[#This Row],[First Name]],".",Tbl_Emp_Onboarding[[#This Row],[Last Name]],"@saregama.com")</f>
        <v>Seumas.Ianizzi@saregama.com</v>
      </c>
      <c r="E59" s="5">
        <v>38449</v>
      </c>
      <c r="F59" s="6">
        <f ca="1">RANDBETWEEN(0,6)+((TODAY() - 'Employee Onboarding'!E59)/365.25)</f>
        <v>21.507186858316224</v>
      </c>
      <c r="G59" t="s">
        <v>198</v>
      </c>
      <c r="H59" s="2" t="s">
        <v>17</v>
      </c>
      <c r="I59" s="13" t="s">
        <v>42</v>
      </c>
    </row>
    <row r="60" spans="1:9" x14ac:dyDescent="0.3">
      <c r="A60" s="2">
        <v>105841</v>
      </c>
      <c r="B60" t="s">
        <v>199</v>
      </c>
      <c r="C60" t="s">
        <v>200</v>
      </c>
      <c r="D60" t="str">
        <f>_xlfn.CONCAT(Tbl_Emp_Onboarding[[#This Row],[First Name]],".",Tbl_Emp_Onboarding[[#This Row],[Last Name]],"@saregama.com")</f>
        <v>Wiatt.Ridolfo@saregama.com</v>
      </c>
      <c r="E60" s="5">
        <v>38545</v>
      </c>
      <c r="F60" s="6">
        <f ca="1">RANDBETWEEN(0,6)+((TODAY() - 'Employee Onboarding'!E60)/365.25)</f>
        <v>18.244353182751539</v>
      </c>
      <c r="G60" t="s">
        <v>201</v>
      </c>
      <c r="H60" s="2" t="s">
        <v>12</v>
      </c>
      <c r="I60" s="13" t="s">
        <v>13</v>
      </c>
    </row>
    <row r="61" spans="1:9" x14ac:dyDescent="0.3">
      <c r="A61" s="2">
        <v>107409</v>
      </c>
      <c r="B61" t="s">
        <v>202</v>
      </c>
      <c r="C61" t="s">
        <v>203</v>
      </c>
      <c r="D61" t="str">
        <f>_xlfn.CONCAT(Tbl_Emp_Onboarding[[#This Row],[First Name]],".",Tbl_Emp_Onboarding[[#This Row],[Last Name]],"@saregama.com")</f>
        <v>Clovis.Brewins@saregama.com</v>
      </c>
      <c r="E61" s="5">
        <v>32101</v>
      </c>
      <c r="F61" s="6">
        <f ca="1">RANDBETWEEN(0,6)+((TODAY() - 'Employee Onboarding'!E61)/365.25)</f>
        <v>32.887063655030801</v>
      </c>
      <c r="G61" t="s">
        <v>204</v>
      </c>
      <c r="H61" s="2" t="s">
        <v>21</v>
      </c>
      <c r="I61" s="13" t="s">
        <v>85</v>
      </c>
    </row>
    <row r="62" spans="1:9" x14ac:dyDescent="0.3">
      <c r="A62" s="2">
        <v>102352</v>
      </c>
      <c r="B62" t="s">
        <v>205</v>
      </c>
      <c r="C62" t="s">
        <v>206</v>
      </c>
      <c r="D62" t="str">
        <f>_xlfn.CONCAT(Tbl_Emp_Onboarding[[#This Row],[First Name]],".",Tbl_Emp_Onboarding[[#This Row],[Last Name]],"@saregama.com")</f>
        <v>Doroteya.Pinches@saregama.com</v>
      </c>
      <c r="E62" s="5">
        <v>41409</v>
      </c>
      <c r="F62" s="6">
        <f ca="1">RANDBETWEEN(0,6)+((TODAY() - 'Employee Onboarding'!E62)/365.25)</f>
        <v>8.4031485284052021</v>
      </c>
      <c r="G62" t="s">
        <v>207</v>
      </c>
      <c r="H62" s="2" t="s">
        <v>21</v>
      </c>
      <c r="I62" s="13" t="s">
        <v>22</v>
      </c>
    </row>
    <row r="63" spans="1:9" x14ac:dyDescent="0.3">
      <c r="A63" s="2">
        <v>104902</v>
      </c>
      <c r="B63" t="s">
        <v>208</v>
      </c>
      <c r="C63" t="s">
        <v>209</v>
      </c>
      <c r="D63" t="str">
        <f>_xlfn.CONCAT(Tbl_Emp_Onboarding[[#This Row],[First Name]],".",Tbl_Emp_Onboarding[[#This Row],[Last Name]],"@saregama.com")</f>
        <v>Cecilius.Gowrie@saregama.com</v>
      </c>
      <c r="E63" s="5">
        <v>42710</v>
      </c>
      <c r="F63" s="6">
        <f ca="1">RANDBETWEEN(0,6)+((TODAY() - 'Employee Onboarding'!E63)/365.25)</f>
        <v>7.8412046543463383</v>
      </c>
      <c r="G63" t="s">
        <v>210</v>
      </c>
      <c r="H63" s="2" t="s">
        <v>12</v>
      </c>
      <c r="I63" s="13" t="s">
        <v>35</v>
      </c>
    </row>
    <row r="64" spans="1:9" x14ac:dyDescent="0.3">
      <c r="A64" s="2">
        <v>105086</v>
      </c>
      <c r="B64" t="s">
        <v>211</v>
      </c>
      <c r="C64" t="s">
        <v>212</v>
      </c>
      <c r="D64" t="str">
        <f>_xlfn.CONCAT(Tbl_Emp_Onboarding[[#This Row],[First Name]],".",Tbl_Emp_Onboarding[[#This Row],[Last Name]],"@saregama.com")</f>
        <v>Rafferty.Jentle@saregama.com</v>
      </c>
      <c r="E64" s="5">
        <v>33041</v>
      </c>
      <c r="F64" s="6">
        <f ca="1">RANDBETWEEN(0,6)+((TODAY() - 'Employee Onboarding'!E64)/365.25)</f>
        <v>33.313483915126625</v>
      </c>
      <c r="G64" t="s">
        <v>213</v>
      </c>
      <c r="H64" s="2" t="s">
        <v>17</v>
      </c>
      <c r="I64" s="13" t="s">
        <v>13</v>
      </c>
    </row>
    <row r="65" spans="1:9" x14ac:dyDescent="0.3">
      <c r="A65" s="2">
        <v>105125</v>
      </c>
      <c r="B65" t="s">
        <v>214</v>
      </c>
      <c r="C65" t="s">
        <v>215</v>
      </c>
      <c r="D65" t="str">
        <f>_xlfn.CONCAT(Tbl_Emp_Onboarding[[#This Row],[First Name]],".",Tbl_Emp_Onboarding[[#This Row],[Last Name]],"@saregama.com")</f>
        <v>Lion.Cason@saregama.com</v>
      </c>
      <c r="E65" s="5">
        <v>41223</v>
      </c>
      <c r="F65" s="6">
        <f ca="1">RANDBETWEEN(0,6)+((TODAY() - 'Employee Onboarding'!E65)/365.25)</f>
        <v>10.912388774811774</v>
      </c>
      <c r="G65" t="s">
        <v>216</v>
      </c>
      <c r="H65" s="2" t="s">
        <v>55</v>
      </c>
      <c r="I65" s="13" t="s">
        <v>22</v>
      </c>
    </row>
    <row r="66" spans="1:9" x14ac:dyDescent="0.3">
      <c r="A66" s="2">
        <v>105666</v>
      </c>
      <c r="B66" t="s">
        <v>217</v>
      </c>
      <c r="C66" t="s">
        <v>218</v>
      </c>
      <c r="D66" t="str">
        <f>_xlfn.CONCAT(Tbl_Emp_Onboarding[[#This Row],[First Name]],".",Tbl_Emp_Onboarding[[#This Row],[Last Name]],"@saregama.com")</f>
        <v>Clayborne.Quig@saregama.com</v>
      </c>
      <c r="E66" s="5">
        <v>31993</v>
      </c>
      <c r="F66" s="6">
        <f ca="1">RANDBETWEEN(0,6)+((TODAY() - 'Employee Onboarding'!E66)/365.25)</f>
        <v>37.182751540041068</v>
      </c>
      <c r="G66" t="s">
        <v>219</v>
      </c>
      <c r="H66" s="2" t="s">
        <v>17</v>
      </c>
      <c r="I66" s="13" t="s">
        <v>46</v>
      </c>
    </row>
    <row r="67" spans="1:9" x14ac:dyDescent="0.3">
      <c r="A67" s="2">
        <v>107071</v>
      </c>
      <c r="B67" t="s">
        <v>220</v>
      </c>
      <c r="C67" t="s">
        <v>221</v>
      </c>
      <c r="D67" t="str">
        <f>_xlfn.CONCAT(Tbl_Emp_Onboarding[[#This Row],[First Name]],".",Tbl_Emp_Onboarding[[#This Row],[Last Name]],"@saregama.com")</f>
        <v>Blane.Aldrin@saregama.com</v>
      </c>
      <c r="E67" s="5">
        <v>36880</v>
      </c>
      <c r="F67" s="6">
        <f ca="1">RANDBETWEEN(0,6)+((TODAY() - 'Employee Onboarding'!E67)/365.25)</f>
        <v>25.802874743326488</v>
      </c>
      <c r="G67" t="s">
        <v>222</v>
      </c>
      <c r="H67" s="2" t="s">
        <v>12</v>
      </c>
      <c r="I67" s="13" t="s">
        <v>13</v>
      </c>
    </row>
    <row r="68" spans="1:9" x14ac:dyDescent="0.3">
      <c r="A68" s="2">
        <v>107702</v>
      </c>
      <c r="B68" t="s">
        <v>223</v>
      </c>
      <c r="C68" t="s">
        <v>224</v>
      </c>
      <c r="D68" t="str">
        <f>_xlfn.CONCAT(Tbl_Emp_Onboarding[[#This Row],[First Name]],".",Tbl_Emp_Onboarding[[#This Row],[Last Name]],"@saregama.com")</f>
        <v>Kelby.Tubb@saregama.com</v>
      </c>
      <c r="E68" s="5">
        <v>43433</v>
      </c>
      <c r="F68" s="6">
        <f ca="1">RANDBETWEEN(0,6)+((TODAY() - 'Employee Onboarding'!E68)/365.25)</f>
        <v>2.8617385352498288</v>
      </c>
      <c r="G68" t="s">
        <v>225</v>
      </c>
      <c r="H68" s="2" t="s">
        <v>62</v>
      </c>
      <c r="I68" s="13" t="s">
        <v>51</v>
      </c>
    </row>
    <row r="69" spans="1:9" x14ac:dyDescent="0.3">
      <c r="A69" s="2">
        <v>105270</v>
      </c>
      <c r="B69" t="s">
        <v>226</v>
      </c>
      <c r="C69" t="s">
        <v>227</v>
      </c>
      <c r="D69" t="str">
        <f>_xlfn.CONCAT(Tbl_Emp_Onboarding[[#This Row],[First Name]],".",Tbl_Emp_Onboarding[[#This Row],[Last Name]],"@saregama.com")</f>
        <v>Kristopher.Douse@saregama.com</v>
      </c>
      <c r="E69" s="5">
        <v>35045</v>
      </c>
      <c r="F69" s="6">
        <f ca="1">RANDBETWEEN(0,6)+((TODAY() - 'Employee Onboarding'!E69)/365.25)</f>
        <v>24.826830937713893</v>
      </c>
      <c r="G69" t="s">
        <v>228</v>
      </c>
      <c r="H69" s="2" t="s">
        <v>17</v>
      </c>
      <c r="I69" s="13" t="s">
        <v>13</v>
      </c>
    </row>
    <row r="70" spans="1:9" x14ac:dyDescent="0.3">
      <c r="A70" s="2">
        <v>103875</v>
      </c>
      <c r="B70" t="s">
        <v>229</v>
      </c>
      <c r="C70" t="s">
        <v>230</v>
      </c>
      <c r="D70" t="str">
        <f>_xlfn.CONCAT(Tbl_Emp_Onboarding[[#This Row],[First Name]],".",Tbl_Emp_Onboarding[[#This Row],[Last Name]],"@saregama.com")</f>
        <v>Darrick.Hinz@saregama.com</v>
      </c>
      <c r="E70" s="5">
        <v>40272</v>
      </c>
      <c r="F70" s="6">
        <f ca="1">RANDBETWEEN(0,6)+((TODAY() - 'Employee Onboarding'!E70)/365.25)</f>
        <v>16.516084873374403</v>
      </c>
      <c r="G70" t="s">
        <v>231</v>
      </c>
      <c r="H70" s="2" t="s">
        <v>12</v>
      </c>
      <c r="I70" s="13" t="s">
        <v>13</v>
      </c>
    </row>
    <row r="71" spans="1:9" x14ac:dyDescent="0.3">
      <c r="A71" s="2">
        <v>106044</v>
      </c>
      <c r="B71" t="s">
        <v>232</v>
      </c>
      <c r="C71" t="s">
        <v>233</v>
      </c>
      <c r="D71" t="str">
        <f>_xlfn.CONCAT(Tbl_Emp_Onboarding[[#This Row],[First Name]],".",Tbl_Emp_Onboarding[[#This Row],[Last Name]],"@saregama.com")</f>
        <v>Dallas.Morad@saregama.com</v>
      </c>
      <c r="E71" s="5">
        <v>33276</v>
      </c>
      <c r="F71" s="6">
        <f ca="1">RANDBETWEEN(0,6)+((TODAY() - 'Employee Onboarding'!E71)/365.25)</f>
        <v>33.670088980150581</v>
      </c>
      <c r="G71" t="s">
        <v>234</v>
      </c>
      <c r="H71" s="2" t="s">
        <v>21</v>
      </c>
      <c r="I71" s="13" t="s">
        <v>85</v>
      </c>
    </row>
    <row r="72" spans="1:9" x14ac:dyDescent="0.3">
      <c r="A72" s="2">
        <v>107235</v>
      </c>
      <c r="B72" t="s">
        <v>235</v>
      </c>
      <c r="C72" t="s">
        <v>236</v>
      </c>
      <c r="D72" t="str">
        <f>_xlfn.CONCAT(Tbl_Emp_Onboarding[[#This Row],[First Name]],".",Tbl_Emp_Onboarding[[#This Row],[Last Name]],"@saregama.com")</f>
        <v>Hilton.Parsons@saregama.com</v>
      </c>
      <c r="E72" s="5">
        <v>31813</v>
      </c>
      <c r="F72" s="6">
        <f ca="1">RANDBETWEEN(0,6)+((TODAY() - 'Employee Onboarding'!E72)/365.25)</f>
        <v>34.675564681724843</v>
      </c>
      <c r="G72" t="s">
        <v>237</v>
      </c>
      <c r="H72" s="2" t="s">
        <v>55</v>
      </c>
      <c r="I72" s="13" t="s">
        <v>22</v>
      </c>
    </row>
    <row r="73" spans="1:9" x14ac:dyDescent="0.3">
      <c r="A73" s="2">
        <v>105180</v>
      </c>
      <c r="B73" t="s">
        <v>238</v>
      </c>
      <c r="C73" t="s">
        <v>239</v>
      </c>
      <c r="D73" t="str">
        <f>_xlfn.CONCAT(Tbl_Emp_Onboarding[[#This Row],[First Name]],".",Tbl_Emp_Onboarding[[#This Row],[Last Name]],"@saregama.com")</f>
        <v>Carla.Leatherbarrow@saregama.com</v>
      </c>
      <c r="E73" s="5">
        <v>41777</v>
      </c>
      <c r="F73" s="6">
        <f ca="1">RANDBETWEEN(0,6)+((TODAY() - 'Employee Onboarding'!E73)/365.25)</f>
        <v>8.3956194387405887</v>
      </c>
      <c r="G73" t="s">
        <v>240</v>
      </c>
      <c r="H73" s="2" t="s">
        <v>21</v>
      </c>
      <c r="I73" s="13" t="s">
        <v>22</v>
      </c>
    </row>
    <row r="74" spans="1:9" x14ac:dyDescent="0.3">
      <c r="A74" s="2">
        <v>105324</v>
      </c>
      <c r="B74" t="s">
        <v>241</v>
      </c>
      <c r="C74" t="s">
        <v>242</v>
      </c>
      <c r="D74" t="str">
        <f>_xlfn.CONCAT(Tbl_Emp_Onboarding[[#This Row],[First Name]],".",Tbl_Emp_Onboarding[[#This Row],[Last Name]],"@saregama.com")</f>
        <v>Katharyn.Blythe@saregama.com</v>
      </c>
      <c r="E74" s="5">
        <v>42884</v>
      </c>
      <c r="F74" s="6">
        <f ca="1">RANDBETWEEN(0,6)+((TODAY() - 'Employee Onboarding'!E74)/365.25)</f>
        <v>6.3648186173853531</v>
      </c>
      <c r="G74" t="s">
        <v>243</v>
      </c>
      <c r="H74" s="2" t="s">
        <v>17</v>
      </c>
      <c r="I74" s="13" t="s">
        <v>35</v>
      </c>
    </row>
    <row r="75" spans="1:9" x14ac:dyDescent="0.3">
      <c r="A75" s="2">
        <v>107716</v>
      </c>
      <c r="B75" t="s">
        <v>244</v>
      </c>
      <c r="C75" t="s">
        <v>245</v>
      </c>
      <c r="D75" t="str">
        <f>_xlfn.CONCAT(Tbl_Emp_Onboarding[[#This Row],[First Name]],".",Tbl_Emp_Onboarding[[#This Row],[Last Name]],"@saregama.com")</f>
        <v>Mira.Bontine@saregama.com</v>
      </c>
      <c r="E75" s="5">
        <v>37121</v>
      </c>
      <c r="F75" s="6">
        <f ca="1">RANDBETWEEN(0,6)+((TODAY() - 'Employee Onboarding'!E75)/365.25)</f>
        <v>23.143052703627653</v>
      </c>
      <c r="G75" t="s">
        <v>246</v>
      </c>
      <c r="H75" s="2" t="s">
        <v>62</v>
      </c>
      <c r="I75" s="13" t="s">
        <v>46</v>
      </c>
    </row>
    <row r="76" spans="1:9" x14ac:dyDescent="0.3">
      <c r="A76" s="2">
        <v>103971</v>
      </c>
      <c r="B76" t="s">
        <v>247</v>
      </c>
      <c r="C76" t="s">
        <v>248</v>
      </c>
      <c r="D76" t="str">
        <f>_xlfn.CONCAT(Tbl_Emp_Onboarding[[#This Row],[First Name]],".",Tbl_Emp_Onboarding[[#This Row],[Last Name]],"@saregama.com")</f>
        <v>Iolande.Levane@saregama.com</v>
      </c>
      <c r="E76" s="5">
        <v>38793</v>
      </c>
      <c r="F76" s="6">
        <f ca="1">RANDBETWEEN(0,6)+((TODAY() - 'Employee Onboarding'!E76)/365.25)</f>
        <v>20.565366187542779</v>
      </c>
      <c r="G76" t="s">
        <v>249</v>
      </c>
      <c r="H76" s="2" t="s">
        <v>17</v>
      </c>
      <c r="I76" s="13" t="s">
        <v>13</v>
      </c>
    </row>
    <row r="77" spans="1:9" x14ac:dyDescent="0.3">
      <c r="A77" s="2">
        <v>104333</v>
      </c>
      <c r="B77" t="s">
        <v>250</v>
      </c>
      <c r="C77" t="s">
        <v>251</v>
      </c>
      <c r="D77" t="str">
        <f>_xlfn.CONCAT(Tbl_Emp_Onboarding[[#This Row],[First Name]],".",Tbl_Emp_Onboarding[[#This Row],[Last Name]],"@saregama.com")</f>
        <v>Melinda.Kleen@saregama.com</v>
      </c>
      <c r="E77" s="5">
        <v>40447</v>
      </c>
      <c r="F77" s="6">
        <f ca="1">RANDBETWEEN(0,6)+((TODAY() - 'Employee Onboarding'!E77)/365.25)</f>
        <v>10.036960985626283</v>
      </c>
      <c r="G77" t="s">
        <v>252</v>
      </c>
      <c r="H77" s="2" t="s">
        <v>62</v>
      </c>
      <c r="I77" s="13" t="s">
        <v>63</v>
      </c>
    </row>
    <row r="78" spans="1:9" x14ac:dyDescent="0.3">
      <c r="A78" s="2">
        <v>104260</v>
      </c>
      <c r="B78" t="s">
        <v>253</v>
      </c>
      <c r="C78" t="s">
        <v>254</v>
      </c>
      <c r="D78" t="str">
        <f>_xlfn.CONCAT(Tbl_Emp_Onboarding[[#This Row],[First Name]],".",Tbl_Emp_Onboarding[[#This Row],[Last Name]],"@saregama.com")</f>
        <v>Evered.Pury@saregama.com</v>
      </c>
      <c r="E78" s="5">
        <v>43494</v>
      </c>
      <c r="F78" s="6">
        <f ca="1">RANDBETWEEN(0,6)+((TODAY() - 'Employee Onboarding'!E78)/365.25)</f>
        <v>7.6947296372347704</v>
      </c>
      <c r="G78" t="s">
        <v>255</v>
      </c>
      <c r="H78" s="2" t="s">
        <v>21</v>
      </c>
      <c r="I78" s="13" t="s">
        <v>22</v>
      </c>
    </row>
    <row r="79" spans="1:9" x14ac:dyDescent="0.3">
      <c r="A79" s="2">
        <v>103316</v>
      </c>
      <c r="B79" t="s">
        <v>256</v>
      </c>
      <c r="C79" t="s">
        <v>257</v>
      </c>
      <c r="D79" t="str">
        <f>_xlfn.CONCAT(Tbl_Emp_Onboarding[[#This Row],[First Name]],".",Tbl_Emp_Onboarding[[#This Row],[Last Name]],"@saregama.com")</f>
        <v>Betta.Entreis@saregama.com</v>
      </c>
      <c r="E79" s="5">
        <v>43324</v>
      </c>
      <c r="F79" s="6">
        <f ca="1">RANDBETWEEN(0,6)+((TODAY() - 'Employee Onboarding'!E79)/365.25)</f>
        <v>8.1601642710472273</v>
      </c>
      <c r="G79" t="s">
        <v>258</v>
      </c>
      <c r="H79" s="2" t="s">
        <v>21</v>
      </c>
      <c r="I79" s="13" t="s">
        <v>22</v>
      </c>
    </row>
    <row r="80" spans="1:9" x14ac:dyDescent="0.3">
      <c r="A80" s="2">
        <v>103686</v>
      </c>
      <c r="B80" t="s">
        <v>259</v>
      </c>
      <c r="C80" t="s">
        <v>260</v>
      </c>
      <c r="D80" t="str">
        <f>_xlfn.CONCAT(Tbl_Emp_Onboarding[[#This Row],[First Name]],".",Tbl_Emp_Onboarding[[#This Row],[Last Name]],"@saregama.com")</f>
        <v>Lisha.Lovett@saregama.com</v>
      </c>
      <c r="E80" s="5">
        <v>31677</v>
      </c>
      <c r="F80" s="6">
        <f ca="1">RANDBETWEEN(0,6)+((TODAY() - 'Employee Onboarding'!E80)/365.25)</f>
        <v>37.047912388774812</v>
      </c>
      <c r="G80" t="s">
        <v>261</v>
      </c>
      <c r="H80" s="2" t="s">
        <v>50</v>
      </c>
      <c r="I80" s="13" t="s">
        <v>63</v>
      </c>
    </row>
    <row r="81" spans="1:9" x14ac:dyDescent="0.3">
      <c r="A81" s="2">
        <v>105780</v>
      </c>
      <c r="B81" t="s">
        <v>262</v>
      </c>
      <c r="C81" t="s">
        <v>263</v>
      </c>
      <c r="D81" t="str">
        <f>_xlfn.CONCAT(Tbl_Emp_Onboarding[[#This Row],[First Name]],".",Tbl_Emp_Onboarding[[#This Row],[Last Name]],"@saregama.com")</f>
        <v>Ninon.Medendorp@saregama.com</v>
      </c>
      <c r="E81" s="5">
        <v>43331</v>
      </c>
      <c r="F81" s="6">
        <f ca="1">RANDBETWEEN(0,6)+((TODAY() - 'Employee Onboarding'!E81)/365.25)</f>
        <v>2.1409993155373033</v>
      </c>
      <c r="G81" t="s">
        <v>264</v>
      </c>
      <c r="H81" s="2" t="s">
        <v>50</v>
      </c>
      <c r="I81" s="13" t="s">
        <v>51</v>
      </c>
    </row>
    <row r="82" spans="1:9" x14ac:dyDescent="0.3">
      <c r="A82" s="2">
        <v>102704</v>
      </c>
      <c r="B82" t="s">
        <v>265</v>
      </c>
      <c r="C82" t="s">
        <v>266</v>
      </c>
      <c r="D82" t="str">
        <f>_xlfn.CONCAT(Tbl_Emp_Onboarding[[#This Row],[First Name]],".",Tbl_Emp_Onboarding[[#This Row],[Last Name]],"@saregama.com")</f>
        <v>Ezekiel.Youd@saregama.com</v>
      </c>
      <c r="E82" s="5">
        <v>37483</v>
      </c>
      <c r="F82" s="6">
        <f ca="1">RANDBETWEEN(0,6)+((TODAY() - 'Employee Onboarding'!E82)/365.25)</f>
        <v>24.151950718685832</v>
      </c>
      <c r="G82" t="s">
        <v>267</v>
      </c>
      <c r="H82" s="2" t="s">
        <v>17</v>
      </c>
      <c r="I82" s="13" t="s">
        <v>13</v>
      </c>
    </row>
    <row r="83" spans="1:9" x14ac:dyDescent="0.3">
      <c r="A83" s="2">
        <v>104016</v>
      </c>
      <c r="B83" t="s">
        <v>268</v>
      </c>
      <c r="C83" t="s">
        <v>269</v>
      </c>
      <c r="D83" t="str">
        <f>_xlfn.CONCAT(Tbl_Emp_Onboarding[[#This Row],[First Name]],".",Tbl_Emp_Onboarding[[#This Row],[Last Name]],"@saregama.com")</f>
        <v>Napoleon.Giovanitti@saregama.com</v>
      </c>
      <c r="E83" s="5">
        <v>42466</v>
      </c>
      <c r="F83" s="6">
        <f ca="1">RANDBETWEEN(0,6)+((TODAY() - 'Employee Onboarding'!E83)/365.25)</f>
        <v>4.5092402464065708</v>
      </c>
      <c r="G83" t="s">
        <v>270</v>
      </c>
      <c r="H83" s="2" t="s">
        <v>12</v>
      </c>
      <c r="I83" s="13" t="s">
        <v>35</v>
      </c>
    </row>
    <row r="84" spans="1:9" x14ac:dyDescent="0.3">
      <c r="A84" s="2">
        <v>107983</v>
      </c>
      <c r="B84" t="s">
        <v>271</v>
      </c>
      <c r="C84" t="s">
        <v>272</v>
      </c>
      <c r="D84" t="str">
        <f>_xlfn.CONCAT(Tbl_Emp_Onboarding[[#This Row],[First Name]],".",Tbl_Emp_Onboarding[[#This Row],[Last Name]],"@saregama.com")</f>
        <v>Jasmine.Vlasyuk@saregama.com</v>
      </c>
      <c r="E84" s="5">
        <v>28296</v>
      </c>
      <c r="F84" s="6">
        <f ca="1">RANDBETWEEN(0,6)+((TODAY() - 'Employee Onboarding'!E84)/365.25)</f>
        <v>47.304585900068446</v>
      </c>
      <c r="G84" t="s">
        <v>273</v>
      </c>
      <c r="H84" s="2" t="s">
        <v>12</v>
      </c>
      <c r="I84" s="13" t="s">
        <v>113</v>
      </c>
    </row>
    <row r="85" spans="1:9" x14ac:dyDescent="0.3">
      <c r="A85" s="2">
        <v>106568</v>
      </c>
      <c r="B85" t="s">
        <v>274</v>
      </c>
      <c r="C85" t="s">
        <v>275</v>
      </c>
      <c r="D85" t="str">
        <f>_xlfn.CONCAT(Tbl_Emp_Onboarding[[#This Row],[First Name]],".",Tbl_Emp_Onboarding[[#This Row],[Last Name]],"@saregama.com")</f>
        <v>Myer.Harriot@saregama.com</v>
      </c>
      <c r="E85" s="5">
        <v>38454</v>
      </c>
      <c r="F85" s="6">
        <f ca="1">RANDBETWEEN(0,6)+((TODAY() - 'Employee Onboarding'!E85)/365.25)</f>
        <v>17.493497604380561</v>
      </c>
      <c r="G85" t="s">
        <v>276</v>
      </c>
      <c r="H85" s="2" t="s">
        <v>62</v>
      </c>
      <c r="I85" s="13" t="s">
        <v>51</v>
      </c>
    </row>
    <row r="86" spans="1:9" x14ac:dyDescent="0.3">
      <c r="A86" s="2">
        <v>105959</v>
      </c>
      <c r="B86" t="s">
        <v>277</v>
      </c>
      <c r="C86" t="s">
        <v>278</v>
      </c>
      <c r="D86" t="str">
        <f>_xlfn.CONCAT(Tbl_Emp_Onboarding[[#This Row],[First Name]],".",Tbl_Emp_Onboarding[[#This Row],[Last Name]],"@saregama.com")</f>
        <v>Candace.Antonchik@saregama.com</v>
      </c>
      <c r="E86" s="5">
        <v>41488</v>
      </c>
      <c r="F86" s="6">
        <f ca="1">RANDBETWEEN(0,6)+((TODAY() - 'Employee Onboarding'!E86)/365.25)</f>
        <v>8.1868583162217661</v>
      </c>
      <c r="G86" t="s">
        <v>279</v>
      </c>
      <c r="H86" s="2" t="s">
        <v>62</v>
      </c>
      <c r="I86" s="13" t="s">
        <v>63</v>
      </c>
    </row>
    <row r="87" spans="1:9" x14ac:dyDescent="0.3">
      <c r="A87" s="2">
        <v>103750</v>
      </c>
      <c r="B87" t="s">
        <v>280</v>
      </c>
      <c r="C87" t="s">
        <v>281</v>
      </c>
      <c r="D87" t="str">
        <f>_xlfn.CONCAT(Tbl_Emp_Onboarding[[#This Row],[First Name]],".",Tbl_Emp_Onboarding[[#This Row],[Last Name]],"@saregama.com")</f>
        <v>Rickie.O'Codihie@saregama.com</v>
      </c>
      <c r="E87" s="5">
        <v>41024</v>
      </c>
      <c r="F87" s="6">
        <f ca="1">RANDBETWEEN(0,6)+((TODAY() - 'Employee Onboarding'!E87)/365.25)</f>
        <v>9.4572210814510616</v>
      </c>
      <c r="G87" t="s">
        <v>282</v>
      </c>
      <c r="H87" s="2" t="s">
        <v>17</v>
      </c>
      <c r="I87" s="13" t="s">
        <v>35</v>
      </c>
    </row>
    <row r="88" spans="1:9" x14ac:dyDescent="0.3">
      <c r="A88" s="2">
        <v>102398</v>
      </c>
      <c r="B88" t="s">
        <v>283</v>
      </c>
      <c r="C88" t="s">
        <v>284</v>
      </c>
      <c r="D88" t="str">
        <f>_xlfn.CONCAT(Tbl_Emp_Onboarding[[#This Row],[First Name]],".",Tbl_Emp_Onboarding[[#This Row],[Last Name]],"@saregama.com")</f>
        <v>Krystle.Warne@saregama.com</v>
      </c>
      <c r="E88" s="5">
        <v>38795</v>
      </c>
      <c r="F88" s="6">
        <f ca="1">RANDBETWEEN(0,6)+((TODAY() - 'Employee Onboarding'!E88)/365.25)</f>
        <v>17.559890485968516</v>
      </c>
      <c r="G88" t="s">
        <v>285</v>
      </c>
      <c r="H88" s="2" t="s">
        <v>21</v>
      </c>
      <c r="I88" s="13" t="s">
        <v>22</v>
      </c>
    </row>
    <row r="89" spans="1:9" x14ac:dyDescent="0.3">
      <c r="A89" s="2">
        <v>105245</v>
      </c>
      <c r="B89" t="s">
        <v>286</v>
      </c>
      <c r="C89" t="s">
        <v>287</v>
      </c>
      <c r="D89" t="str">
        <f>_xlfn.CONCAT(Tbl_Emp_Onboarding[[#This Row],[First Name]],".",Tbl_Emp_Onboarding[[#This Row],[Last Name]],"@saregama.com")</f>
        <v>Hilde.Glyssanne@saregama.com</v>
      </c>
      <c r="E89" s="5">
        <v>37640</v>
      </c>
      <c r="F89" s="6">
        <f ca="1">RANDBETWEEN(0,6)+((TODAY() - 'Employee Onboarding'!E89)/365.25)</f>
        <v>18.722108145106091</v>
      </c>
      <c r="G89" t="s">
        <v>288</v>
      </c>
      <c r="H89" s="2" t="s">
        <v>12</v>
      </c>
      <c r="I89" s="13" t="s">
        <v>113</v>
      </c>
    </row>
    <row r="90" spans="1:9" x14ac:dyDescent="0.3">
      <c r="A90" s="2">
        <v>104385</v>
      </c>
      <c r="B90" t="s">
        <v>289</v>
      </c>
      <c r="C90" t="s">
        <v>290</v>
      </c>
      <c r="D90" t="str">
        <f>_xlfn.CONCAT(Tbl_Emp_Onboarding[[#This Row],[First Name]],".",Tbl_Emp_Onboarding[[#This Row],[Last Name]],"@saregama.com")</f>
        <v>Antonie.Mokes@saregama.com</v>
      </c>
      <c r="E90" s="5">
        <v>34476</v>
      </c>
      <c r="F90" s="6">
        <f ca="1">RANDBETWEEN(0,6)+((TODAY() - 'Employee Onboarding'!E90)/365.25)</f>
        <v>30.38466803559206</v>
      </c>
      <c r="G90" t="s">
        <v>291</v>
      </c>
      <c r="H90" s="2" t="s">
        <v>50</v>
      </c>
      <c r="I90" s="13" t="s">
        <v>63</v>
      </c>
    </row>
    <row r="91" spans="1:9" x14ac:dyDescent="0.3">
      <c r="A91" s="2">
        <v>106211</v>
      </c>
      <c r="B91" t="s">
        <v>292</v>
      </c>
      <c r="C91" t="s">
        <v>293</v>
      </c>
      <c r="D91" t="str">
        <f>_xlfn.CONCAT(Tbl_Emp_Onboarding[[#This Row],[First Name]],".",Tbl_Emp_Onboarding[[#This Row],[Last Name]],"@saregama.com")</f>
        <v>Llewellyn.Edgerly@saregama.com</v>
      </c>
      <c r="E91" s="5">
        <v>41330</v>
      </c>
      <c r="F91" s="6">
        <f ca="1">RANDBETWEEN(0,6)+((TODAY() - 'Employee Onboarding'!E91)/365.25)</f>
        <v>9.6194387405886381</v>
      </c>
      <c r="G91" t="s">
        <v>294</v>
      </c>
      <c r="H91" s="2" t="s">
        <v>21</v>
      </c>
      <c r="I91" s="13" t="s">
        <v>22</v>
      </c>
    </row>
    <row r="92" spans="1:9" x14ac:dyDescent="0.3">
      <c r="A92" s="2">
        <v>104830</v>
      </c>
      <c r="B92" t="s">
        <v>295</v>
      </c>
      <c r="C92" t="s">
        <v>296</v>
      </c>
      <c r="D92" t="str">
        <f>_xlfn.CONCAT(Tbl_Emp_Onboarding[[#This Row],[First Name]],".",Tbl_Emp_Onboarding[[#This Row],[Last Name]],"@saregama.com")</f>
        <v>Gilbertina.Cashford@saregama.com</v>
      </c>
      <c r="E92" s="5">
        <v>42992</v>
      </c>
      <c r="F92" s="6">
        <f ca="1">RANDBETWEEN(0,6)+((TODAY() - 'Employee Onboarding'!E92)/365.25)</f>
        <v>8.0691307323750863</v>
      </c>
      <c r="G92" t="s">
        <v>297</v>
      </c>
      <c r="H92" s="2" t="s">
        <v>62</v>
      </c>
      <c r="I92" s="13" t="s">
        <v>51</v>
      </c>
    </row>
    <row r="93" spans="1:9" x14ac:dyDescent="0.3">
      <c r="A93" s="2">
        <v>107965</v>
      </c>
      <c r="B93" t="s">
        <v>298</v>
      </c>
      <c r="C93" t="s">
        <v>299</v>
      </c>
      <c r="D93" t="str">
        <f>_xlfn.CONCAT(Tbl_Emp_Onboarding[[#This Row],[First Name]],".",Tbl_Emp_Onboarding[[#This Row],[Last Name]],"@saregama.com")</f>
        <v>Cordell.Salvador@saregama.com</v>
      </c>
      <c r="E93" s="5">
        <v>43086</v>
      </c>
      <c r="F93" s="6">
        <f ca="1">RANDBETWEEN(0,6)+((TODAY() - 'Employee Onboarding'!E93)/365.25)</f>
        <v>8.8117727583846683</v>
      </c>
      <c r="G93" t="s">
        <v>300</v>
      </c>
      <c r="H93" s="2" t="s">
        <v>62</v>
      </c>
      <c r="I93" s="13" t="s">
        <v>51</v>
      </c>
    </row>
    <row r="94" spans="1:9" x14ac:dyDescent="0.3">
      <c r="A94" s="2">
        <v>103885</v>
      </c>
      <c r="B94" t="s">
        <v>301</v>
      </c>
      <c r="C94" t="s">
        <v>302</v>
      </c>
      <c r="D94" t="str">
        <f>_xlfn.CONCAT(Tbl_Emp_Onboarding[[#This Row],[First Name]],".",Tbl_Emp_Onboarding[[#This Row],[Last Name]],"@saregama.com")</f>
        <v>Isabel.Breache@saregama.com</v>
      </c>
      <c r="E94" s="5">
        <v>36037</v>
      </c>
      <c r="F94" s="6">
        <f ca="1">RANDBETWEEN(0,6)+((TODAY() - 'Employee Onboarding'!E94)/365.25)</f>
        <v>28.11088295687885</v>
      </c>
      <c r="G94" t="s">
        <v>303</v>
      </c>
      <c r="H94" s="2" t="s">
        <v>17</v>
      </c>
      <c r="I94" s="13" t="s">
        <v>13</v>
      </c>
    </row>
    <row r="95" spans="1:9" x14ac:dyDescent="0.3">
      <c r="A95" s="2">
        <v>105514</v>
      </c>
      <c r="B95" t="s">
        <v>304</v>
      </c>
      <c r="C95" t="s">
        <v>305</v>
      </c>
      <c r="D95" t="str">
        <f>_xlfn.CONCAT(Tbl_Emp_Onboarding[[#This Row],[First Name]],".",Tbl_Emp_Onboarding[[#This Row],[Last Name]],"@saregama.com")</f>
        <v>Steffane.Kewish@saregama.com</v>
      </c>
      <c r="E95" s="5">
        <v>35668</v>
      </c>
      <c r="F95" s="6">
        <f ca="1">RANDBETWEEN(0,6)+((TODAY() - 'Employee Onboarding'!E95)/365.25)</f>
        <v>26.121149897330596</v>
      </c>
      <c r="G95" t="s">
        <v>306</v>
      </c>
      <c r="H95" s="2" t="s">
        <v>21</v>
      </c>
      <c r="I95" s="13" t="s">
        <v>22</v>
      </c>
    </row>
    <row r="96" spans="1:9" x14ac:dyDescent="0.3">
      <c r="A96" s="2">
        <v>107899</v>
      </c>
      <c r="B96" t="s">
        <v>307</v>
      </c>
      <c r="C96" t="s">
        <v>308</v>
      </c>
      <c r="D96" t="str">
        <f>_xlfn.CONCAT(Tbl_Emp_Onboarding[[#This Row],[First Name]],".",Tbl_Emp_Onboarding[[#This Row],[Last Name]],"@saregama.com")</f>
        <v>Nick.Goodby@saregama.com</v>
      </c>
      <c r="E96" s="5">
        <v>42035</v>
      </c>
      <c r="F96" s="6">
        <f ca="1">RANDBETWEEN(0,6)+((TODAY() - 'Employee Onboarding'!E96)/365.25)</f>
        <v>7.6892539356605063</v>
      </c>
      <c r="G96" t="s">
        <v>309</v>
      </c>
      <c r="H96" s="2" t="s">
        <v>62</v>
      </c>
      <c r="I96" s="13" t="s">
        <v>51</v>
      </c>
    </row>
    <row r="97" spans="1:9" x14ac:dyDescent="0.3">
      <c r="A97" s="2">
        <v>104730</v>
      </c>
      <c r="B97" t="s">
        <v>310</v>
      </c>
      <c r="C97" t="s">
        <v>311</v>
      </c>
      <c r="D97" t="str">
        <f>_xlfn.CONCAT(Tbl_Emp_Onboarding[[#This Row],[First Name]],".",Tbl_Emp_Onboarding[[#This Row],[Last Name]],"@saregama.com")</f>
        <v>Zondra.Fensome@saregama.com</v>
      </c>
      <c r="E97" s="5">
        <v>39225</v>
      </c>
      <c r="F97" s="6">
        <f ca="1">RANDBETWEEN(0,6)+((TODAY() - 'Employee Onboarding'!E97)/365.25)</f>
        <v>19.382614647501711</v>
      </c>
      <c r="G97" t="s">
        <v>312</v>
      </c>
      <c r="H97" s="2" t="s">
        <v>55</v>
      </c>
      <c r="I97" s="13" t="s">
        <v>22</v>
      </c>
    </row>
    <row r="98" spans="1:9" x14ac:dyDescent="0.3">
      <c r="A98" s="2">
        <v>104132</v>
      </c>
      <c r="B98" t="s">
        <v>313</v>
      </c>
      <c r="C98" t="s">
        <v>314</v>
      </c>
      <c r="D98" t="str">
        <f>_xlfn.CONCAT(Tbl_Emp_Onboarding[[#This Row],[First Name]],".",Tbl_Emp_Onboarding[[#This Row],[Last Name]],"@saregama.com")</f>
        <v>Conrad.Batteson@saregama.com</v>
      </c>
      <c r="E98" s="5">
        <v>33745</v>
      </c>
      <c r="F98" s="6">
        <f ca="1">RANDBETWEEN(0,6)+((TODAY() - 'Employee Onboarding'!E98)/365.25)</f>
        <v>34.386036960985628</v>
      </c>
      <c r="G98" t="s">
        <v>315</v>
      </c>
      <c r="H98" s="2" t="s">
        <v>17</v>
      </c>
      <c r="I98" s="13" t="s">
        <v>42</v>
      </c>
    </row>
    <row r="99" spans="1:9" x14ac:dyDescent="0.3">
      <c r="A99" s="2">
        <v>107839</v>
      </c>
      <c r="B99" t="s">
        <v>316</v>
      </c>
      <c r="C99" t="s">
        <v>317</v>
      </c>
      <c r="D99" t="str">
        <f>_xlfn.CONCAT(Tbl_Emp_Onboarding[[#This Row],[First Name]],".",Tbl_Emp_Onboarding[[#This Row],[Last Name]],"@saregama.com")</f>
        <v>Ashton.Loker@saregama.com</v>
      </c>
      <c r="E99" s="5">
        <v>31547</v>
      </c>
      <c r="F99" s="6">
        <f ca="1">RANDBETWEEN(0,6)+((TODAY() - 'Employee Onboarding'!E99)/365.25)</f>
        <v>36.403832991101986</v>
      </c>
      <c r="G99" t="s">
        <v>318</v>
      </c>
      <c r="H99" s="2" t="s">
        <v>17</v>
      </c>
      <c r="I99" s="13" t="s">
        <v>113</v>
      </c>
    </row>
    <row r="100" spans="1:9" x14ac:dyDescent="0.3">
      <c r="A100" s="2">
        <v>107810</v>
      </c>
      <c r="B100" t="s">
        <v>319</v>
      </c>
      <c r="C100" t="s">
        <v>320</v>
      </c>
      <c r="D100" t="str">
        <f>_xlfn.CONCAT(Tbl_Emp_Onboarding[[#This Row],[First Name]],".",Tbl_Emp_Onboarding[[#This Row],[Last Name]],"@saregama.com")</f>
        <v>Sallyanne.Twiggins@saregama.com</v>
      </c>
      <c r="E100" s="5">
        <v>35501</v>
      </c>
      <c r="F100" s="6">
        <f ca="1">RANDBETWEEN(0,6)+((TODAY() - 'Employee Onboarding'!E100)/365.25)</f>
        <v>25.578370978781656</v>
      </c>
      <c r="G100" t="s">
        <v>321</v>
      </c>
      <c r="H100" s="2" t="s">
        <v>62</v>
      </c>
      <c r="I100" s="13" t="s">
        <v>63</v>
      </c>
    </row>
    <row r="101" spans="1:9" x14ac:dyDescent="0.3">
      <c r="A101" s="2">
        <v>102329</v>
      </c>
      <c r="B101" t="s">
        <v>322</v>
      </c>
      <c r="C101" t="s">
        <v>323</v>
      </c>
      <c r="D101" t="str">
        <f>_xlfn.CONCAT(Tbl_Emp_Onboarding[[#This Row],[First Name]],".",Tbl_Emp_Onboarding[[#This Row],[Last Name]],"@saregama.com")</f>
        <v>Bernadene.Barker@saregama.com</v>
      </c>
      <c r="E101" s="5">
        <v>28621</v>
      </c>
      <c r="F101" s="6">
        <f ca="1">RANDBETWEEN(0,6)+((TODAY() - 'Employee Onboarding'!E101)/365.25)</f>
        <v>48.414784394250511</v>
      </c>
      <c r="G101" t="s">
        <v>324</v>
      </c>
      <c r="H101" s="2" t="s">
        <v>17</v>
      </c>
      <c r="I101" s="13" t="s">
        <v>42</v>
      </c>
    </row>
    <row r="102" spans="1:9" x14ac:dyDescent="0.3">
      <c r="A102" s="2">
        <v>104729</v>
      </c>
      <c r="B102" t="s">
        <v>325</v>
      </c>
      <c r="C102" t="s">
        <v>326</v>
      </c>
      <c r="D102" t="str">
        <f>_xlfn.CONCAT(Tbl_Emp_Onboarding[[#This Row],[First Name]],".",Tbl_Emp_Onboarding[[#This Row],[Last Name]],"@saregama.com")</f>
        <v>Hurley.Barensen@saregama.com</v>
      </c>
      <c r="E102" s="5">
        <v>34066</v>
      </c>
      <c r="F102" s="6">
        <f ca="1">RANDBETWEEN(0,6)+((TODAY() - 'Employee Onboarding'!E102)/365.25)</f>
        <v>27.507186858316221</v>
      </c>
      <c r="G102" t="s">
        <v>327</v>
      </c>
      <c r="H102" s="2" t="s">
        <v>55</v>
      </c>
      <c r="I102" s="13" t="s">
        <v>85</v>
      </c>
    </row>
    <row r="103" spans="1:9" x14ac:dyDescent="0.3">
      <c r="A103" s="2">
        <v>102235</v>
      </c>
      <c r="B103" t="s">
        <v>328</v>
      </c>
      <c r="C103" t="s">
        <v>329</v>
      </c>
      <c r="D103" t="str">
        <f>_xlfn.CONCAT(Tbl_Emp_Onboarding[[#This Row],[First Name]],".",Tbl_Emp_Onboarding[[#This Row],[Last Name]],"@saregama.com")</f>
        <v>Cassandry.Enrigo@saregama.com</v>
      </c>
      <c r="E103" s="5">
        <v>34734</v>
      </c>
      <c r="F103" s="6">
        <f ca="1">RANDBETWEEN(0,6)+((TODAY() - 'Employee Onboarding'!E103)/365.25)</f>
        <v>31.678302532511978</v>
      </c>
      <c r="G103" t="s">
        <v>330</v>
      </c>
      <c r="H103" s="2" t="s">
        <v>17</v>
      </c>
      <c r="I103" s="13" t="s">
        <v>13</v>
      </c>
    </row>
    <row r="104" spans="1:9" x14ac:dyDescent="0.3">
      <c r="A104" s="2">
        <v>106629</v>
      </c>
      <c r="B104" t="s">
        <v>331</v>
      </c>
      <c r="C104" t="s">
        <v>332</v>
      </c>
      <c r="D104" t="str">
        <f>_xlfn.CONCAT(Tbl_Emp_Onboarding[[#This Row],[First Name]],".",Tbl_Emp_Onboarding[[#This Row],[Last Name]],"@saregama.com")</f>
        <v>Alessandra.Pacey@saregama.com</v>
      </c>
      <c r="E104" s="5">
        <v>38966</v>
      </c>
      <c r="F104" s="6">
        <f ca="1">RANDBETWEEN(0,6)+((TODAY() - 'Employee Onboarding'!E104)/365.25)</f>
        <v>17.091718001368925</v>
      </c>
      <c r="G104" t="s">
        <v>333</v>
      </c>
      <c r="H104" s="2" t="s">
        <v>50</v>
      </c>
      <c r="I104" s="13" t="s">
        <v>63</v>
      </c>
    </row>
    <row r="105" spans="1:9" x14ac:dyDescent="0.3">
      <c r="A105" s="2">
        <v>107193</v>
      </c>
      <c r="B105" t="s">
        <v>334</v>
      </c>
      <c r="C105" t="s">
        <v>335</v>
      </c>
      <c r="D105" t="str">
        <f>_xlfn.CONCAT(Tbl_Emp_Onboarding[[#This Row],[First Name]],".",Tbl_Emp_Onboarding[[#This Row],[Last Name]],"@saregama.com")</f>
        <v>Elsy.Gallo@saregama.com</v>
      </c>
      <c r="E105" s="5">
        <v>33800</v>
      </c>
      <c r="F105" s="6">
        <f ca="1">RANDBETWEEN(0,6)+((TODAY() - 'Employee Onboarding'!E105)/365.25)</f>
        <v>32.23545516769336</v>
      </c>
      <c r="G105" t="s">
        <v>336</v>
      </c>
      <c r="H105" s="2" t="s">
        <v>50</v>
      </c>
      <c r="I105" s="13" t="s">
        <v>46</v>
      </c>
    </row>
    <row r="106" spans="1:9" x14ac:dyDescent="0.3">
      <c r="A106" s="2">
        <v>107920</v>
      </c>
      <c r="B106" t="s">
        <v>337</v>
      </c>
      <c r="C106" t="s">
        <v>338</v>
      </c>
      <c r="D106" t="str">
        <f>_xlfn.CONCAT(Tbl_Emp_Onboarding[[#This Row],[First Name]],".",Tbl_Emp_Onboarding[[#This Row],[Last Name]],"@saregama.com")</f>
        <v>Hewett.O'Doran@saregama.com</v>
      </c>
      <c r="E106" s="5">
        <v>32908</v>
      </c>
      <c r="F106" s="6">
        <f ca="1">RANDBETWEEN(0,6)+((TODAY() - 'Employee Onboarding'!E106)/365.25)</f>
        <v>30.677618069815196</v>
      </c>
      <c r="G106" t="s">
        <v>339</v>
      </c>
      <c r="H106" s="2" t="s">
        <v>17</v>
      </c>
      <c r="I106" s="13" t="s">
        <v>113</v>
      </c>
    </row>
    <row r="107" spans="1:9" x14ac:dyDescent="0.3">
      <c r="A107" s="2">
        <v>105205</v>
      </c>
      <c r="B107" t="s">
        <v>340</v>
      </c>
      <c r="C107" t="s">
        <v>341</v>
      </c>
      <c r="D107" t="str">
        <f>_xlfn.CONCAT(Tbl_Emp_Onboarding[[#This Row],[First Name]],".",Tbl_Emp_Onboarding[[#This Row],[Last Name]],"@saregama.com")</f>
        <v>Niko.Derbyshire@saregama.com</v>
      </c>
      <c r="E107" s="5">
        <v>37597</v>
      </c>
      <c r="F107" s="6">
        <f ca="1">RANDBETWEEN(0,6)+((TODAY() - 'Employee Onboarding'!E107)/365.25)</f>
        <v>19.839835728952771</v>
      </c>
      <c r="G107" t="s">
        <v>342</v>
      </c>
      <c r="H107" s="2" t="s">
        <v>12</v>
      </c>
      <c r="I107" s="13" t="s">
        <v>35</v>
      </c>
    </row>
    <row r="108" spans="1:9" x14ac:dyDescent="0.3">
      <c r="A108" s="2">
        <v>106561</v>
      </c>
      <c r="B108" t="s">
        <v>343</v>
      </c>
      <c r="C108" t="s">
        <v>344</v>
      </c>
      <c r="D108" t="str">
        <f>_xlfn.CONCAT(Tbl_Emp_Onboarding[[#This Row],[First Name]],".",Tbl_Emp_Onboarding[[#This Row],[Last Name]],"@saregama.com")</f>
        <v>Deeanne.De Gregoli@saregama.com</v>
      </c>
      <c r="E108" s="5">
        <v>41325</v>
      </c>
      <c r="F108" s="6">
        <f ca="1">RANDBETWEEN(0,6)+((TODAY() - 'Employee Onboarding'!E108)/365.25)</f>
        <v>8.6331279945242976</v>
      </c>
      <c r="G108" t="s">
        <v>345</v>
      </c>
      <c r="H108" s="2" t="s">
        <v>21</v>
      </c>
      <c r="I108" s="13" t="s">
        <v>22</v>
      </c>
    </row>
    <row r="109" spans="1:9" x14ac:dyDescent="0.3">
      <c r="A109" s="2">
        <v>106723</v>
      </c>
      <c r="B109" t="s">
        <v>346</v>
      </c>
      <c r="C109" t="s">
        <v>347</v>
      </c>
      <c r="D109" t="str">
        <f>_xlfn.CONCAT(Tbl_Emp_Onboarding[[#This Row],[First Name]],".",Tbl_Emp_Onboarding[[#This Row],[Last Name]],"@saregama.com")</f>
        <v>Sydney.Woodison@saregama.com</v>
      </c>
      <c r="E109" s="5">
        <v>37927</v>
      </c>
      <c r="F109" s="6">
        <f ca="1">RANDBETWEEN(0,6)+((TODAY() - 'Employee Onboarding'!E109)/365.25)</f>
        <v>16.93634496919918</v>
      </c>
      <c r="G109" t="s">
        <v>348</v>
      </c>
      <c r="H109" s="2" t="s">
        <v>17</v>
      </c>
      <c r="I109" s="13" t="s">
        <v>46</v>
      </c>
    </row>
    <row r="110" spans="1:9" x14ac:dyDescent="0.3">
      <c r="A110" s="2">
        <v>103437</v>
      </c>
      <c r="B110" t="s">
        <v>349</v>
      </c>
      <c r="C110" t="s">
        <v>350</v>
      </c>
      <c r="D110" t="str">
        <f>_xlfn.CONCAT(Tbl_Emp_Onboarding[[#This Row],[First Name]],".",Tbl_Emp_Onboarding[[#This Row],[Last Name]],"@saregama.com")</f>
        <v>Mauricio.Coon@saregama.com</v>
      </c>
      <c r="E110" s="5">
        <v>40708</v>
      </c>
      <c r="F110" s="6">
        <f ca="1">RANDBETWEEN(0,6)+((TODAY() - 'Employee Onboarding'!E110)/365.25)</f>
        <v>9.3223819301848057</v>
      </c>
      <c r="G110" t="s">
        <v>351</v>
      </c>
      <c r="H110" s="2" t="s">
        <v>55</v>
      </c>
      <c r="I110" s="13" t="s">
        <v>85</v>
      </c>
    </row>
    <row r="111" spans="1:9" x14ac:dyDescent="0.3">
      <c r="A111" s="2">
        <v>104872</v>
      </c>
      <c r="B111" t="s">
        <v>352</v>
      </c>
      <c r="C111" t="s">
        <v>353</v>
      </c>
      <c r="D111" t="str">
        <f>_xlfn.CONCAT(Tbl_Emp_Onboarding[[#This Row],[First Name]],".",Tbl_Emp_Onboarding[[#This Row],[Last Name]],"@saregama.com")</f>
        <v>Giraud.Tabour@saregama.com</v>
      </c>
      <c r="E111" s="5">
        <v>34901</v>
      </c>
      <c r="F111" s="6">
        <f ca="1">RANDBETWEEN(0,6)+((TODAY() - 'Employee Onboarding'!E111)/365.25)</f>
        <v>28.221081451060918</v>
      </c>
      <c r="G111" t="s">
        <v>354</v>
      </c>
      <c r="H111" s="2" t="s">
        <v>50</v>
      </c>
      <c r="I111" s="13" t="s">
        <v>63</v>
      </c>
    </row>
    <row r="112" spans="1:9" x14ac:dyDescent="0.3">
      <c r="A112" s="2">
        <v>103770</v>
      </c>
      <c r="B112" t="s">
        <v>355</v>
      </c>
      <c r="C112" t="s">
        <v>356</v>
      </c>
      <c r="D112" t="str">
        <f>_xlfn.CONCAT(Tbl_Emp_Onboarding[[#This Row],[First Name]],".",Tbl_Emp_Onboarding[[#This Row],[Last Name]],"@saregama.com")</f>
        <v>Lin.Chittie@saregama.com</v>
      </c>
      <c r="E112" s="5">
        <v>42187</v>
      </c>
      <c r="F112" s="6">
        <f ca="1">RANDBETWEEN(0,6)+((TODAY() - 'Employee Onboarding'!E112)/365.25)</f>
        <v>6.2731006160164275</v>
      </c>
      <c r="G112" t="s">
        <v>357</v>
      </c>
      <c r="H112" s="2" t="s">
        <v>12</v>
      </c>
      <c r="I112" s="13" t="s">
        <v>13</v>
      </c>
    </row>
    <row r="113" spans="1:9" x14ac:dyDescent="0.3">
      <c r="A113" s="2">
        <v>102343</v>
      </c>
      <c r="B113" t="s">
        <v>358</v>
      </c>
      <c r="C113" t="s">
        <v>359</v>
      </c>
      <c r="D113" t="str">
        <f>_xlfn.CONCAT(Tbl_Emp_Onboarding[[#This Row],[First Name]],".",Tbl_Emp_Onboarding[[#This Row],[Last Name]],"@saregama.com")</f>
        <v>Jecho.Willment@saregama.com</v>
      </c>
      <c r="E113" s="5">
        <v>33158</v>
      </c>
      <c r="F113" s="6">
        <f ca="1">RANDBETWEEN(0,6)+((TODAY() - 'Employee Onboarding'!E113)/365.25)</f>
        <v>35.993155373032167</v>
      </c>
      <c r="G113" t="s">
        <v>360</v>
      </c>
      <c r="H113" s="2" t="s">
        <v>62</v>
      </c>
      <c r="I113" s="13" t="s">
        <v>63</v>
      </c>
    </row>
    <row r="114" spans="1:9" x14ac:dyDescent="0.3">
      <c r="A114" s="2">
        <v>104762</v>
      </c>
      <c r="B114" t="s">
        <v>361</v>
      </c>
      <c r="C114" t="s">
        <v>362</v>
      </c>
      <c r="D114" t="str">
        <f>_xlfn.CONCAT(Tbl_Emp_Onboarding[[#This Row],[First Name]],".",Tbl_Emp_Onboarding[[#This Row],[Last Name]],"@saregama.com")</f>
        <v>Lauritz.Domican@saregama.com</v>
      </c>
      <c r="E114" s="5">
        <v>36581</v>
      </c>
      <c r="F114" s="6">
        <f ca="1">RANDBETWEEN(0,6)+((TODAY() - 'Employee Onboarding'!E114)/365.25)</f>
        <v>23.621492128678987</v>
      </c>
      <c r="G114" t="s">
        <v>363</v>
      </c>
      <c r="H114" s="2" t="s">
        <v>12</v>
      </c>
      <c r="I114" s="13" t="s">
        <v>42</v>
      </c>
    </row>
    <row r="115" spans="1:9" x14ac:dyDescent="0.3">
      <c r="A115" s="2">
        <v>104928</v>
      </c>
      <c r="B115" t="s">
        <v>364</v>
      </c>
      <c r="C115" t="s">
        <v>365</v>
      </c>
      <c r="D115" t="str">
        <f>_xlfn.CONCAT(Tbl_Emp_Onboarding[[#This Row],[First Name]],".",Tbl_Emp_Onboarding[[#This Row],[Last Name]],"@saregama.com")</f>
        <v>Hillary.Paddock@saregama.com</v>
      </c>
      <c r="E115" s="5">
        <v>41508</v>
      </c>
      <c r="F115" s="6">
        <f ca="1">RANDBETWEEN(0,6)+((TODAY() - 'Employee Onboarding'!E115)/365.25)</f>
        <v>10.132101300479125</v>
      </c>
      <c r="G115" t="s">
        <v>366</v>
      </c>
      <c r="H115" s="2" t="s">
        <v>17</v>
      </c>
      <c r="I115" s="13" t="s">
        <v>13</v>
      </c>
    </row>
    <row r="116" spans="1:9" x14ac:dyDescent="0.3">
      <c r="A116" s="2">
        <v>105325</v>
      </c>
      <c r="B116" t="s">
        <v>367</v>
      </c>
      <c r="C116" t="s">
        <v>368</v>
      </c>
      <c r="D116" t="str">
        <f>_xlfn.CONCAT(Tbl_Emp_Onboarding[[#This Row],[First Name]],".",Tbl_Emp_Onboarding[[#This Row],[Last Name]],"@saregama.com")</f>
        <v>Bentley.Lidgerton@saregama.com</v>
      </c>
      <c r="E116" s="5">
        <v>41318</v>
      </c>
      <c r="F116" s="6">
        <f ca="1">RANDBETWEEN(0,6)+((TODAY() - 'Employee Onboarding'!E116)/365.25)</f>
        <v>11.652292950034223</v>
      </c>
      <c r="G116" t="s">
        <v>369</v>
      </c>
      <c r="H116" s="2" t="s">
        <v>12</v>
      </c>
      <c r="I116" s="13" t="s">
        <v>35</v>
      </c>
    </row>
    <row r="117" spans="1:9" x14ac:dyDescent="0.3">
      <c r="A117" s="2">
        <v>104038</v>
      </c>
      <c r="B117" t="s">
        <v>370</v>
      </c>
      <c r="C117" t="s">
        <v>371</v>
      </c>
      <c r="D117" t="str">
        <f>_xlfn.CONCAT(Tbl_Emp_Onboarding[[#This Row],[First Name]],".",Tbl_Emp_Onboarding[[#This Row],[Last Name]],"@saregama.com")</f>
        <v>Jeromy.Scattergood@saregama.com</v>
      </c>
      <c r="E117" s="5">
        <v>31576</v>
      </c>
      <c r="F117" s="6">
        <f ca="1">RANDBETWEEN(0,6)+((TODAY() - 'Employee Onboarding'!E117)/365.25)</f>
        <v>38.324435318275157</v>
      </c>
      <c r="G117" t="s">
        <v>372</v>
      </c>
      <c r="H117" s="2" t="s">
        <v>12</v>
      </c>
      <c r="I117" s="13" t="s">
        <v>13</v>
      </c>
    </row>
    <row r="118" spans="1:9" x14ac:dyDescent="0.3">
      <c r="A118" s="2">
        <v>105966</v>
      </c>
      <c r="B118" t="s">
        <v>373</v>
      </c>
      <c r="C118" t="s">
        <v>374</v>
      </c>
      <c r="D118" t="str">
        <f>_xlfn.CONCAT(Tbl_Emp_Onboarding[[#This Row],[First Name]],".",Tbl_Emp_Onboarding[[#This Row],[Last Name]],"@saregama.com")</f>
        <v>Alaster.Pieche@saregama.com</v>
      </c>
      <c r="E118" s="5">
        <v>40539</v>
      </c>
      <c r="F118" s="6">
        <f ca="1">RANDBETWEEN(0,6)+((TODAY() - 'Employee Onboarding'!E118)/365.25)</f>
        <v>14.78507871321013</v>
      </c>
      <c r="G118" t="s">
        <v>375</v>
      </c>
      <c r="H118" s="2" t="s">
        <v>21</v>
      </c>
      <c r="I118" s="13" t="s">
        <v>22</v>
      </c>
    </row>
    <row r="119" spans="1:9" x14ac:dyDescent="0.3">
      <c r="A119" s="2">
        <v>104711</v>
      </c>
      <c r="B119" t="s">
        <v>376</v>
      </c>
      <c r="C119" t="s">
        <v>377</v>
      </c>
      <c r="D119" t="str">
        <f>_xlfn.CONCAT(Tbl_Emp_Onboarding[[#This Row],[First Name]],".",Tbl_Emp_Onboarding[[#This Row],[Last Name]],"@saregama.com")</f>
        <v>Seka.Braemer@saregama.com</v>
      </c>
      <c r="E119" s="5">
        <v>41065</v>
      </c>
      <c r="F119" s="6">
        <f ca="1">RANDBETWEEN(0,6)+((TODAY() - 'Employee Onboarding'!E119)/365.25)</f>
        <v>9.3449691991786441</v>
      </c>
      <c r="G119" t="s">
        <v>378</v>
      </c>
      <c r="H119" s="2" t="s">
        <v>55</v>
      </c>
      <c r="I119" s="13" t="s">
        <v>46</v>
      </c>
    </row>
    <row r="120" spans="1:9" x14ac:dyDescent="0.3">
      <c r="A120" s="2">
        <v>106798</v>
      </c>
      <c r="B120" t="s">
        <v>379</v>
      </c>
      <c r="C120" t="s">
        <v>380</v>
      </c>
      <c r="D120" t="str">
        <f>_xlfn.CONCAT(Tbl_Emp_Onboarding[[#This Row],[First Name]],".",Tbl_Emp_Onboarding[[#This Row],[Last Name]],"@saregama.com")</f>
        <v>Minnie.Blaxlande@saregama.com</v>
      </c>
      <c r="E120" s="5">
        <v>40804</v>
      </c>
      <c r="F120" s="6">
        <f ca="1">RANDBETWEEN(0,6)+((TODAY() - 'Employee Onboarding'!E120)/365.25)</f>
        <v>15.059548254620124</v>
      </c>
      <c r="G120" t="s">
        <v>381</v>
      </c>
      <c r="H120" s="2" t="s">
        <v>17</v>
      </c>
      <c r="I120" s="13" t="s">
        <v>13</v>
      </c>
    </row>
    <row r="121" spans="1:9" x14ac:dyDescent="0.3">
      <c r="A121" s="2">
        <v>104534</v>
      </c>
      <c r="B121" t="s">
        <v>382</v>
      </c>
      <c r="C121" t="s">
        <v>383</v>
      </c>
      <c r="D121" t="str">
        <f>_xlfn.CONCAT(Tbl_Emp_Onboarding[[#This Row],[First Name]],".",Tbl_Emp_Onboarding[[#This Row],[Last Name]],"@saregama.com")</f>
        <v>Maurie.Seignior@saregama.com</v>
      </c>
      <c r="E121" s="5">
        <v>35717</v>
      </c>
      <c r="F121" s="6">
        <f ca="1">RANDBETWEEN(0,6)+((TODAY() - 'Employee Onboarding'!E121)/365.25)</f>
        <v>23.986995208761122</v>
      </c>
      <c r="G121" t="s">
        <v>384</v>
      </c>
      <c r="H121" s="2" t="s">
        <v>62</v>
      </c>
      <c r="I121" s="13" t="s">
        <v>63</v>
      </c>
    </row>
    <row r="122" spans="1:9" x14ac:dyDescent="0.3">
      <c r="A122" s="2">
        <v>103893</v>
      </c>
      <c r="B122" t="s">
        <v>385</v>
      </c>
      <c r="C122" t="s">
        <v>386</v>
      </c>
      <c r="D122" t="str">
        <f>_xlfn.CONCAT(Tbl_Emp_Onboarding[[#This Row],[First Name]],".",Tbl_Emp_Onboarding[[#This Row],[Last Name]],"@saregama.com")</f>
        <v>Meredith.Sember@saregama.com</v>
      </c>
      <c r="E122" s="5">
        <v>39574</v>
      </c>
      <c r="F122" s="6">
        <f ca="1">RANDBETWEEN(0,6)+((TODAY() - 'Employee Onboarding'!E122)/365.25)</f>
        <v>12.427104722792608</v>
      </c>
      <c r="G122" t="s">
        <v>387</v>
      </c>
      <c r="H122" s="2" t="s">
        <v>21</v>
      </c>
      <c r="I122" s="13" t="s">
        <v>85</v>
      </c>
    </row>
    <row r="123" spans="1:9" x14ac:dyDescent="0.3">
      <c r="A123" s="2">
        <v>107875</v>
      </c>
      <c r="B123" t="s">
        <v>388</v>
      </c>
      <c r="C123" t="s">
        <v>389</v>
      </c>
      <c r="D123" t="str">
        <f>_xlfn.CONCAT(Tbl_Emp_Onboarding[[#This Row],[First Name]],".",Tbl_Emp_Onboarding[[#This Row],[Last Name]],"@saregama.com")</f>
        <v>Pet.Sisnett@saregama.com</v>
      </c>
      <c r="E123" s="5">
        <v>32965</v>
      </c>
      <c r="F123" s="6">
        <f ca="1">RANDBETWEEN(0,6)+((TODAY() - 'Employee Onboarding'!E123)/365.25)</f>
        <v>33.521560574948666</v>
      </c>
      <c r="G123" t="s">
        <v>390</v>
      </c>
      <c r="H123" s="2" t="s">
        <v>17</v>
      </c>
      <c r="I123" s="13" t="s">
        <v>13</v>
      </c>
    </row>
    <row r="124" spans="1:9" x14ac:dyDescent="0.3">
      <c r="A124" s="2">
        <v>104704</v>
      </c>
      <c r="B124" t="s">
        <v>391</v>
      </c>
      <c r="C124" t="s">
        <v>392</v>
      </c>
      <c r="D124" t="str">
        <f>_xlfn.CONCAT(Tbl_Emp_Onboarding[[#This Row],[First Name]],".",Tbl_Emp_Onboarding[[#This Row],[Last Name]],"@saregama.com")</f>
        <v>Lorrie.Belchem@saregama.com</v>
      </c>
      <c r="E124" s="5">
        <v>31577</v>
      </c>
      <c r="F124" s="6">
        <f ca="1">RANDBETWEEN(0,6)+((TODAY() - 'Employee Onboarding'!E124)/365.25)</f>
        <v>40.321697467488022</v>
      </c>
      <c r="G124" t="s">
        <v>393</v>
      </c>
      <c r="H124" s="2" t="s">
        <v>21</v>
      </c>
      <c r="I124" s="13" t="s">
        <v>85</v>
      </c>
    </row>
    <row r="125" spans="1:9" x14ac:dyDescent="0.3">
      <c r="A125" s="2">
        <v>102780</v>
      </c>
      <c r="B125" t="s">
        <v>394</v>
      </c>
      <c r="C125" t="s">
        <v>395</v>
      </c>
      <c r="D125" t="str">
        <f>_xlfn.CONCAT(Tbl_Emp_Onboarding[[#This Row],[First Name]],".",Tbl_Emp_Onboarding[[#This Row],[Last Name]],"@saregama.com")</f>
        <v>Nolly.Hardington@saregama.com</v>
      </c>
      <c r="E125" s="5">
        <v>43200</v>
      </c>
      <c r="F125" s="6">
        <f ca="1">RANDBETWEEN(0,6)+((TODAY() - 'Employee Onboarding'!E125)/365.25)</f>
        <v>3.4996577686516086</v>
      </c>
      <c r="G125" t="s">
        <v>396</v>
      </c>
      <c r="H125" s="2" t="s">
        <v>12</v>
      </c>
      <c r="I125" s="13" t="s">
        <v>35</v>
      </c>
    </row>
    <row r="126" spans="1:9" x14ac:dyDescent="0.3">
      <c r="A126" s="2">
        <v>102840</v>
      </c>
      <c r="B126" t="s">
        <v>397</v>
      </c>
      <c r="C126" t="s">
        <v>398</v>
      </c>
      <c r="D126" t="str">
        <f>_xlfn.CONCAT(Tbl_Emp_Onboarding[[#This Row],[First Name]],".",Tbl_Emp_Onboarding[[#This Row],[Last Name]],"@saregama.com")</f>
        <v>Claresta.O'Heyne@saregama.com</v>
      </c>
      <c r="E126" s="5">
        <v>40065</v>
      </c>
      <c r="F126" s="6">
        <f ca="1">RANDBETWEEN(0,6)+((TODAY() - 'Employee Onboarding'!E126)/365.25)</f>
        <v>12.082819986310746</v>
      </c>
      <c r="G126" t="s">
        <v>399</v>
      </c>
      <c r="H126" s="2" t="s">
        <v>12</v>
      </c>
      <c r="I126" s="13" t="s">
        <v>35</v>
      </c>
    </row>
    <row r="127" spans="1:9" x14ac:dyDescent="0.3">
      <c r="A127" s="2">
        <v>104010</v>
      </c>
      <c r="B127" t="s">
        <v>400</v>
      </c>
      <c r="C127" t="s">
        <v>401</v>
      </c>
      <c r="D127" t="str">
        <f>_xlfn.CONCAT(Tbl_Emp_Onboarding[[#This Row],[First Name]],".",Tbl_Emp_Onboarding[[#This Row],[Last Name]],"@saregama.com")</f>
        <v>Lorne.MacFadin@saregama.com</v>
      </c>
      <c r="E127" s="5">
        <v>33343</v>
      </c>
      <c r="F127" s="6">
        <f ca="1">RANDBETWEEN(0,6)+((TODAY() - 'Employee Onboarding'!E127)/365.25)</f>
        <v>31.486652977412732</v>
      </c>
      <c r="G127" t="s">
        <v>402</v>
      </c>
      <c r="H127" s="2" t="s">
        <v>12</v>
      </c>
      <c r="I127" s="13" t="s">
        <v>46</v>
      </c>
    </row>
    <row r="128" spans="1:9" x14ac:dyDescent="0.3">
      <c r="A128" s="2">
        <v>105783</v>
      </c>
      <c r="B128" t="s">
        <v>403</v>
      </c>
      <c r="C128" t="s">
        <v>404</v>
      </c>
      <c r="D128" t="str">
        <f>_xlfn.CONCAT(Tbl_Emp_Onboarding[[#This Row],[First Name]],".",Tbl_Emp_Onboarding[[#This Row],[Last Name]],"@saregama.com")</f>
        <v>Mozelle.Balcombe@saregama.com</v>
      </c>
      <c r="E128" s="5">
        <v>41098</v>
      </c>
      <c r="F128" s="6">
        <f ca="1">RANDBETWEEN(0,6)+((TODAY() - 'Employee Onboarding'!E128)/365.25)</f>
        <v>10.254620123203285</v>
      </c>
      <c r="G128" t="s">
        <v>405</v>
      </c>
      <c r="H128" s="2" t="s">
        <v>21</v>
      </c>
      <c r="I128" s="13" t="s">
        <v>22</v>
      </c>
    </row>
    <row r="129" spans="1:9" x14ac:dyDescent="0.3">
      <c r="A129" s="2">
        <v>104134</v>
      </c>
      <c r="B129" t="s">
        <v>406</v>
      </c>
      <c r="C129" t="s">
        <v>407</v>
      </c>
      <c r="D129" t="str">
        <f>_xlfn.CONCAT(Tbl_Emp_Onboarding[[#This Row],[First Name]],".",Tbl_Emp_Onboarding[[#This Row],[Last Name]],"@saregama.com")</f>
        <v>Horatia.Sandifer@saregama.com</v>
      </c>
      <c r="E129" s="5">
        <v>41789</v>
      </c>
      <c r="F129" s="6">
        <f ca="1">RANDBETWEEN(0,6)+((TODAY() - 'Employee Onboarding'!E129)/365.25)</f>
        <v>10.362765229295004</v>
      </c>
      <c r="G129" t="s">
        <v>408</v>
      </c>
      <c r="H129" s="2" t="s">
        <v>62</v>
      </c>
      <c r="I129" s="13" t="s">
        <v>51</v>
      </c>
    </row>
    <row r="130" spans="1:9" x14ac:dyDescent="0.3">
      <c r="A130" s="2">
        <v>107291</v>
      </c>
      <c r="B130" t="s">
        <v>409</v>
      </c>
      <c r="C130" t="s">
        <v>410</v>
      </c>
      <c r="D130" t="str">
        <f>_xlfn.CONCAT(Tbl_Emp_Onboarding[[#This Row],[First Name]],".",Tbl_Emp_Onboarding[[#This Row],[Last Name]],"@saregama.com")</f>
        <v>Adolpho.Roseveare@saregama.com</v>
      </c>
      <c r="E130" s="5">
        <v>37563</v>
      </c>
      <c r="F130" s="6">
        <f ca="1">RANDBETWEEN(0,6)+((TODAY() - 'Employee Onboarding'!E130)/365.25)</f>
        <v>21.932922655715263</v>
      </c>
      <c r="G130" t="s">
        <v>411</v>
      </c>
      <c r="H130" s="2" t="s">
        <v>12</v>
      </c>
      <c r="I130" s="13" t="s">
        <v>46</v>
      </c>
    </row>
    <row r="131" spans="1:9" x14ac:dyDescent="0.3">
      <c r="A131" s="2">
        <v>107232</v>
      </c>
      <c r="B131" t="s">
        <v>412</v>
      </c>
      <c r="C131" t="s">
        <v>413</v>
      </c>
      <c r="D131" t="str">
        <f>_xlfn.CONCAT(Tbl_Emp_Onboarding[[#This Row],[First Name]],".",Tbl_Emp_Onboarding[[#This Row],[Last Name]],"@saregama.com")</f>
        <v>Hussein.Castro@saregama.com</v>
      </c>
      <c r="E131" s="5">
        <v>32281</v>
      </c>
      <c r="F131" s="6">
        <f ca="1">RANDBETWEEN(0,6)+((TODAY() - 'Employee Onboarding'!E131)/365.25)</f>
        <v>36.394250513347025</v>
      </c>
      <c r="G131" t="s">
        <v>414</v>
      </c>
      <c r="H131" s="2" t="s">
        <v>17</v>
      </c>
      <c r="I131" s="13" t="s">
        <v>13</v>
      </c>
    </row>
    <row r="132" spans="1:9" x14ac:dyDescent="0.3">
      <c r="A132" s="2">
        <v>104192</v>
      </c>
      <c r="B132" t="s">
        <v>403</v>
      </c>
      <c r="C132" t="s">
        <v>415</v>
      </c>
      <c r="D132" t="str">
        <f>_xlfn.CONCAT(Tbl_Emp_Onboarding[[#This Row],[First Name]],".",Tbl_Emp_Onboarding[[#This Row],[Last Name]],"@saregama.com")</f>
        <v>Mozelle.Goodlatt@saregama.com</v>
      </c>
      <c r="E132" s="5">
        <v>39033</v>
      </c>
      <c r="F132" s="6">
        <f ca="1">RANDBETWEEN(0,6)+((TODAY() - 'Employee Onboarding'!E132)/365.25)</f>
        <v>15.908281998631075</v>
      </c>
      <c r="G132" t="s">
        <v>416</v>
      </c>
      <c r="H132" s="2" t="s">
        <v>17</v>
      </c>
      <c r="I132" s="13" t="s">
        <v>13</v>
      </c>
    </row>
    <row r="133" spans="1:9" x14ac:dyDescent="0.3">
      <c r="A133" s="2">
        <v>106563</v>
      </c>
      <c r="B133" t="s">
        <v>417</v>
      </c>
      <c r="C133" t="s">
        <v>418</v>
      </c>
      <c r="D133" t="str">
        <f>_xlfn.CONCAT(Tbl_Emp_Onboarding[[#This Row],[First Name]],".",Tbl_Emp_Onboarding[[#This Row],[Last Name]],"@saregama.com")</f>
        <v>Norine.Abazi@saregama.com</v>
      </c>
      <c r="E133" s="5">
        <v>30490</v>
      </c>
      <c r="F133" s="6">
        <f ca="1">RANDBETWEEN(0,6)+((TODAY() - 'Employee Onboarding'!E133)/365.25)</f>
        <v>42.297741273100613</v>
      </c>
      <c r="G133" t="s">
        <v>419</v>
      </c>
      <c r="H133" s="2" t="s">
        <v>62</v>
      </c>
      <c r="I133" s="13" t="s">
        <v>129</v>
      </c>
    </row>
    <row r="134" spans="1:9" x14ac:dyDescent="0.3">
      <c r="A134" s="2">
        <v>103468</v>
      </c>
      <c r="B134" t="s">
        <v>420</v>
      </c>
      <c r="C134" t="s">
        <v>421</v>
      </c>
      <c r="D134" t="str">
        <f>_xlfn.CONCAT(Tbl_Emp_Onboarding[[#This Row],[First Name]],".",Tbl_Emp_Onboarding[[#This Row],[Last Name]],"@saregama.com")</f>
        <v>Nyssa.Dutnell@saregama.com</v>
      </c>
      <c r="E134" s="5">
        <v>43487</v>
      </c>
      <c r="F134" s="6">
        <f ca="1">RANDBETWEEN(0,6)+((TODAY() - 'Employee Onboarding'!E134)/365.25)</f>
        <v>7.7138945927446958</v>
      </c>
      <c r="G134" t="s">
        <v>422</v>
      </c>
      <c r="H134" s="2" t="s">
        <v>12</v>
      </c>
      <c r="I134" s="13" t="s">
        <v>35</v>
      </c>
    </row>
    <row r="135" spans="1:9" x14ac:dyDescent="0.3">
      <c r="A135" s="2">
        <v>107984</v>
      </c>
      <c r="B135" t="s">
        <v>423</v>
      </c>
      <c r="C135" t="s">
        <v>424</v>
      </c>
      <c r="D135" t="str">
        <f>_xlfn.CONCAT(Tbl_Emp_Onboarding[[#This Row],[First Name]],".",Tbl_Emp_Onboarding[[#This Row],[Last Name]],"@saregama.com")</f>
        <v>Peterus.Starbucke@saregama.com</v>
      </c>
      <c r="E135" s="5">
        <v>36390</v>
      </c>
      <c r="F135" s="6">
        <f ca="1">RANDBETWEEN(0,6)+((TODAY() - 'Employee Onboarding'!E135)/365.25)</f>
        <v>24.144421629021217</v>
      </c>
      <c r="G135" t="s">
        <v>425</v>
      </c>
      <c r="H135" s="2" t="s">
        <v>62</v>
      </c>
      <c r="I135" s="13" t="s">
        <v>63</v>
      </c>
    </row>
    <row r="136" spans="1:9" x14ac:dyDescent="0.3">
      <c r="A136" s="2">
        <v>103531</v>
      </c>
      <c r="B136" t="s">
        <v>426</v>
      </c>
      <c r="C136" t="s">
        <v>427</v>
      </c>
      <c r="D136" t="str">
        <f>_xlfn.CONCAT(Tbl_Emp_Onboarding[[#This Row],[First Name]],".",Tbl_Emp_Onboarding[[#This Row],[Last Name]],"@saregama.com")</f>
        <v>Martyn.Rehorek@saregama.com</v>
      </c>
      <c r="E136" s="5">
        <v>32754</v>
      </c>
      <c r="F136" s="6">
        <f ca="1">RANDBETWEEN(0,6)+((TODAY() - 'Employee Onboarding'!E136)/365.25)</f>
        <v>31.09924709103354</v>
      </c>
      <c r="G136" t="s">
        <v>428</v>
      </c>
      <c r="H136" s="2" t="s">
        <v>12</v>
      </c>
      <c r="I136" s="13" t="s">
        <v>42</v>
      </c>
    </row>
    <row r="137" spans="1:9" x14ac:dyDescent="0.3">
      <c r="A137" s="2">
        <v>107666</v>
      </c>
      <c r="B137" t="s">
        <v>429</v>
      </c>
      <c r="C137" t="s">
        <v>430</v>
      </c>
      <c r="D137" t="str">
        <f>_xlfn.CONCAT(Tbl_Emp_Onboarding[[#This Row],[First Name]],".",Tbl_Emp_Onboarding[[#This Row],[Last Name]],"@saregama.com")</f>
        <v>Emanuel.Franey@saregama.com</v>
      </c>
      <c r="E137" s="5">
        <v>34037</v>
      </c>
      <c r="F137" s="6">
        <f ca="1">RANDBETWEEN(0,6)+((TODAY() - 'Employee Onboarding'!E137)/365.25)</f>
        <v>29.586584531143053</v>
      </c>
      <c r="G137" t="s">
        <v>431</v>
      </c>
      <c r="H137" s="2" t="s">
        <v>50</v>
      </c>
      <c r="I137" s="13" t="s">
        <v>63</v>
      </c>
    </row>
    <row r="138" spans="1:9" x14ac:dyDescent="0.3">
      <c r="A138" s="2">
        <v>103162</v>
      </c>
      <c r="B138" t="s">
        <v>432</v>
      </c>
      <c r="C138" t="s">
        <v>433</v>
      </c>
      <c r="D138" t="str">
        <f>_xlfn.CONCAT(Tbl_Emp_Onboarding[[#This Row],[First Name]],".",Tbl_Emp_Onboarding[[#This Row],[Last Name]],"@saregama.com")</f>
        <v>Guntar.Bolsover@saregama.com</v>
      </c>
      <c r="E138" s="5">
        <v>37515</v>
      </c>
      <c r="F138" s="6">
        <f ca="1">RANDBETWEEN(0,6)+((TODAY() - 'Employee Onboarding'!E138)/365.25)</f>
        <v>23.064339493497606</v>
      </c>
      <c r="G138" t="s">
        <v>434</v>
      </c>
      <c r="H138" s="2" t="s">
        <v>12</v>
      </c>
      <c r="I138" s="13" t="s">
        <v>35</v>
      </c>
    </row>
    <row r="139" spans="1:9" x14ac:dyDescent="0.3">
      <c r="A139" s="2">
        <v>107352</v>
      </c>
      <c r="B139" t="s">
        <v>435</v>
      </c>
      <c r="C139" t="s">
        <v>436</v>
      </c>
      <c r="D139" t="str">
        <f>_xlfn.CONCAT(Tbl_Emp_Onboarding[[#This Row],[First Name]],".",Tbl_Emp_Onboarding[[#This Row],[Last Name]],"@saregama.com")</f>
        <v>Garnette.Kares@saregama.com</v>
      </c>
      <c r="E139" s="5">
        <v>35076</v>
      </c>
      <c r="F139" s="6">
        <f ca="1">RANDBETWEEN(0,6)+((TODAY() - 'Employee Onboarding'!E139)/365.25)</f>
        <v>26.741957563312798</v>
      </c>
      <c r="G139" t="s">
        <v>437</v>
      </c>
      <c r="H139" s="2" t="s">
        <v>17</v>
      </c>
      <c r="I139" s="13" t="s">
        <v>13</v>
      </c>
    </row>
    <row r="140" spans="1:9" x14ac:dyDescent="0.3">
      <c r="A140" s="2">
        <v>107436</v>
      </c>
      <c r="B140" t="s">
        <v>438</v>
      </c>
      <c r="C140" t="s">
        <v>439</v>
      </c>
      <c r="D140" t="str">
        <f>_xlfn.CONCAT(Tbl_Emp_Onboarding[[#This Row],[First Name]],".",Tbl_Emp_Onboarding[[#This Row],[Last Name]],"@saregama.com")</f>
        <v>Coral.Lavigne@saregama.com</v>
      </c>
      <c r="E140" s="5">
        <v>29423</v>
      </c>
      <c r="F140" s="6">
        <f ca="1">RANDBETWEEN(0,6)+((TODAY() - 'Employee Onboarding'!E140)/365.25)</f>
        <v>42.219028062970565</v>
      </c>
      <c r="G140" t="s">
        <v>440</v>
      </c>
      <c r="H140" s="2" t="s">
        <v>50</v>
      </c>
      <c r="I140" s="13" t="s">
        <v>63</v>
      </c>
    </row>
    <row r="141" spans="1:9" x14ac:dyDescent="0.3">
      <c r="A141" s="2">
        <v>107818</v>
      </c>
      <c r="B141" t="s">
        <v>441</v>
      </c>
      <c r="C141" t="s">
        <v>442</v>
      </c>
      <c r="D141" t="str">
        <f>_xlfn.CONCAT(Tbl_Emp_Onboarding[[#This Row],[First Name]],".",Tbl_Emp_Onboarding[[#This Row],[Last Name]],"@saregama.com")</f>
        <v>Emmanuel.Esselen@saregama.com</v>
      </c>
      <c r="E141" s="5">
        <v>42648</v>
      </c>
      <c r="F141" s="6">
        <f ca="1">RANDBETWEEN(0,6)+((TODAY() - 'Employee Onboarding'!E141)/365.25)</f>
        <v>5.0109514031485283</v>
      </c>
      <c r="G141" t="s">
        <v>443</v>
      </c>
      <c r="H141" s="2" t="s">
        <v>62</v>
      </c>
      <c r="I141" s="13" t="s">
        <v>51</v>
      </c>
    </row>
    <row r="142" spans="1:9" x14ac:dyDescent="0.3">
      <c r="A142" s="2">
        <v>105225</v>
      </c>
      <c r="B142" t="s">
        <v>444</v>
      </c>
      <c r="C142" t="s">
        <v>445</v>
      </c>
      <c r="D142" t="str">
        <f>_xlfn.CONCAT(Tbl_Emp_Onboarding[[#This Row],[First Name]],".",Tbl_Emp_Onboarding[[#This Row],[Last Name]],"@saregama.com")</f>
        <v>Enrico.Ottam@saregama.com</v>
      </c>
      <c r="E142" s="5">
        <v>32455</v>
      </c>
      <c r="F142" s="6">
        <f ca="1">RANDBETWEEN(0,6)+((TODAY() - 'Employee Onboarding'!E142)/365.25)</f>
        <v>32.917864476386036</v>
      </c>
      <c r="G142" t="s">
        <v>446</v>
      </c>
      <c r="H142" s="2" t="s">
        <v>17</v>
      </c>
      <c r="I142" s="13" t="s">
        <v>46</v>
      </c>
    </row>
    <row r="143" spans="1:9" x14ac:dyDescent="0.3">
      <c r="A143" s="2">
        <v>103636</v>
      </c>
      <c r="B143" t="s">
        <v>447</v>
      </c>
      <c r="C143" t="s">
        <v>448</v>
      </c>
      <c r="D143" t="str">
        <f>_xlfn.CONCAT(Tbl_Emp_Onboarding[[#This Row],[First Name]],".",Tbl_Emp_Onboarding[[#This Row],[Last Name]],"@saregama.com")</f>
        <v>Consolata.Goucher@saregama.com</v>
      </c>
      <c r="E143" s="5">
        <v>35913</v>
      </c>
      <c r="F143" s="6">
        <f ca="1">RANDBETWEEN(0,6)+((TODAY() - 'Employee Onboarding'!E143)/365.25)</f>
        <v>27.45037645448323</v>
      </c>
      <c r="G143" t="s">
        <v>449</v>
      </c>
      <c r="H143" s="2" t="s">
        <v>50</v>
      </c>
      <c r="I143" s="13" t="s">
        <v>129</v>
      </c>
    </row>
    <row r="144" spans="1:9" x14ac:dyDescent="0.3">
      <c r="A144" s="2">
        <v>104612</v>
      </c>
      <c r="B144" t="s">
        <v>450</v>
      </c>
      <c r="C144" t="s">
        <v>451</v>
      </c>
      <c r="D144" t="str">
        <f>_xlfn.CONCAT(Tbl_Emp_Onboarding[[#This Row],[First Name]],".",Tbl_Emp_Onboarding[[#This Row],[Last Name]],"@saregama.com")</f>
        <v>Roley.Grinham@saregama.com</v>
      </c>
      <c r="E144" s="5">
        <v>43710</v>
      </c>
      <c r="F144" s="6">
        <f ca="1">RANDBETWEEN(0,6)+((TODAY() - 'Employee Onboarding'!E144)/365.25)</f>
        <v>1.1033538672142369</v>
      </c>
      <c r="G144" t="s">
        <v>452</v>
      </c>
      <c r="H144" s="2" t="s">
        <v>21</v>
      </c>
      <c r="I144" s="13" t="s">
        <v>22</v>
      </c>
    </row>
    <row r="145" spans="1:9" x14ac:dyDescent="0.3">
      <c r="A145" s="2">
        <v>102401</v>
      </c>
      <c r="B145" t="s">
        <v>453</v>
      </c>
      <c r="C145" t="s">
        <v>454</v>
      </c>
      <c r="D145" t="str">
        <f>_xlfn.CONCAT(Tbl_Emp_Onboarding[[#This Row],[First Name]],".",Tbl_Emp_Onboarding[[#This Row],[Last Name]],"@saregama.com")</f>
        <v>Berti.Rheam@saregama.com</v>
      </c>
      <c r="E145" s="5">
        <v>40986</v>
      </c>
      <c r="F145" s="6">
        <f ca="1">RANDBETWEEN(0,6)+((TODAY() - 'Employee Onboarding'!E145)/365.25)</f>
        <v>8.5612594113620801</v>
      </c>
      <c r="G145" t="s">
        <v>455</v>
      </c>
      <c r="H145" s="2" t="s">
        <v>50</v>
      </c>
      <c r="I145" s="13" t="s">
        <v>63</v>
      </c>
    </row>
    <row r="146" spans="1:9" x14ac:dyDescent="0.3">
      <c r="A146" s="2">
        <v>106466</v>
      </c>
      <c r="B146" t="s">
        <v>456</v>
      </c>
      <c r="C146" t="s">
        <v>457</v>
      </c>
      <c r="D146" t="str">
        <f>_xlfn.CONCAT(Tbl_Emp_Onboarding[[#This Row],[First Name]],".",Tbl_Emp_Onboarding[[#This Row],[Last Name]],"@saregama.com")</f>
        <v>David.Whereat@saregama.com</v>
      </c>
      <c r="E146" s="5">
        <v>43920</v>
      </c>
      <c r="F146" s="6">
        <f ca="1">RANDBETWEEN(0,6)+((TODAY() - 'Employee Onboarding'!E146)/365.25)</f>
        <v>1.5284052019164955</v>
      </c>
      <c r="G146" t="s">
        <v>458</v>
      </c>
      <c r="H146" s="2" t="s">
        <v>55</v>
      </c>
      <c r="I146" s="13" t="s">
        <v>22</v>
      </c>
    </row>
    <row r="147" spans="1:9" x14ac:dyDescent="0.3">
      <c r="A147" s="2">
        <v>104917</v>
      </c>
      <c r="B147" t="s">
        <v>459</v>
      </c>
      <c r="C147" t="s">
        <v>460</v>
      </c>
      <c r="D147" t="str">
        <f>_xlfn.CONCAT(Tbl_Emp_Onboarding[[#This Row],[First Name]],".",Tbl_Emp_Onboarding[[#This Row],[Last Name]],"@saregama.com")</f>
        <v>Binky.Capner@saregama.com</v>
      </c>
      <c r="E147" s="5">
        <v>35491</v>
      </c>
      <c r="F147" s="6">
        <f ca="1">RANDBETWEEN(0,6)+((TODAY() - 'Employee Onboarding'!E147)/365.25)</f>
        <v>24.605749486652979</v>
      </c>
      <c r="G147" t="s">
        <v>461</v>
      </c>
      <c r="H147" s="2" t="s">
        <v>50</v>
      </c>
      <c r="I147" s="13" t="s">
        <v>63</v>
      </c>
    </row>
    <row r="148" spans="1:9" x14ac:dyDescent="0.3">
      <c r="A148" s="2">
        <v>107662</v>
      </c>
      <c r="B148" t="s">
        <v>462</v>
      </c>
      <c r="C148" t="s">
        <v>463</v>
      </c>
      <c r="D148" t="str">
        <f>_xlfn.CONCAT(Tbl_Emp_Onboarding[[#This Row],[First Name]],".",Tbl_Emp_Onboarding[[#This Row],[Last Name]],"@saregama.com")</f>
        <v>Monroe.Giovani@saregama.com</v>
      </c>
      <c r="E148" s="5">
        <v>35320</v>
      </c>
      <c r="F148" s="6">
        <f ca="1">RANDBETWEEN(0,6)+((TODAY() - 'Employee Onboarding'!E148)/365.25)</f>
        <v>28.073921971252567</v>
      </c>
      <c r="G148" t="s">
        <v>464</v>
      </c>
      <c r="H148" s="2" t="s">
        <v>17</v>
      </c>
      <c r="I148" s="13" t="s">
        <v>46</v>
      </c>
    </row>
    <row r="149" spans="1:9" x14ac:dyDescent="0.3">
      <c r="A149" s="2">
        <v>105592</v>
      </c>
      <c r="B149" t="s">
        <v>465</v>
      </c>
      <c r="C149" t="s">
        <v>466</v>
      </c>
      <c r="D149" t="str">
        <f>_xlfn.CONCAT(Tbl_Emp_Onboarding[[#This Row],[First Name]],".",Tbl_Emp_Onboarding[[#This Row],[Last Name]],"@saregama.com")</f>
        <v>Christiano.Nursey@saregama.com</v>
      </c>
      <c r="E149" s="5">
        <v>43803</v>
      </c>
      <c r="F149" s="6">
        <f ca="1">RANDBETWEEN(0,6)+((TODAY() - 'Employee Onboarding'!E149)/365.25)</f>
        <v>1.8487337440109513</v>
      </c>
      <c r="G149" t="s">
        <v>467</v>
      </c>
      <c r="H149" s="2" t="s">
        <v>21</v>
      </c>
      <c r="I149" s="13" t="s">
        <v>22</v>
      </c>
    </row>
    <row r="150" spans="1:9" x14ac:dyDescent="0.3">
      <c r="A150" s="2">
        <v>105261</v>
      </c>
      <c r="B150" t="s">
        <v>468</v>
      </c>
      <c r="C150" t="s">
        <v>469</v>
      </c>
      <c r="D150" t="str">
        <f>_xlfn.CONCAT(Tbl_Emp_Onboarding[[#This Row],[First Name]],".",Tbl_Emp_Onboarding[[#This Row],[Last Name]],"@saregama.com")</f>
        <v>Letitia.Bessom@saregama.com</v>
      </c>
      <c r="E150" s="5">
        <v>32060</v>
      </c>
      <c r="F150" s="6">
        <f ca="1">RANDBETWEEN(0,6)+((TODAY() - 'Employee Onboarding'!E150)/365.25)</f>
        <v>34.999315537303218</v>
      </c>
      <c r="G150" t="s">
        <v>470</v>
      </c>
      <c r="H150" s="2" t="s">
        <v>62</v>
      </c>
      <c r="I150" s="13" t="s">
        <v>129</v>
      </c>
    </row>
    <row r="151" spans="1:9" x14ac:dyDescent="0.3">
      <c r="A151" s="2">
        <v>107116</v>
      </c>
      <c r="B151" t="s">
        <v>471</v>
      </c>
      <c r="C151" t="s">
        <v>472</v>
      </c>
      <c r="D151" t="str">
        <f>_xlfn.CONCAT(Tbl_Emp_Onboarding[[#This Row],[First Name]],".",Tbl_Emp_Onboarding[[#This Row],[Last Name]],"@saregama.com")</f>
        <v>Garnet.Edeson@saregama.com</v>
      </c>
      <c r="E151" s="5">
        <v>43211</v>
      </c>
      <c r="F151" s="6">
        <f ca="1">RANDBETWEEN(0,6)+((TODAY() - 'Employee Onboarding'!E151)/365.25)</f>
        <v>7.4695414099931554</v>
      </c>
      <c r="G151" t="s">
        <v>473</v>
      </c>
      <c r="H151" s="2" t="s">
        <v>62</v>
      </c>
      <c r="I151" s="13" t="s">
        <v>63</v>
      </c>
    </row>
    <row r="152" spans="1:9" x14ac:dyDescent="0.3">
      <c r="A152" s="2">
        <v>104240</v>
      </c>
      <c r="B152" t="s">
        <v>474</v>
      </c>
      <c r="C152" t="s">
        <v>475</v>
      </c>
      <c r="D152" t="str">
        <f>_xlfn.CONCAT(Tbl_Emp_Onboarding[[#This Row],[First Name]],".",Tbl_Emp_Onboarding[[#This Row],[Last Name]],"@saregama.com")</f>
        <v>Brandon.O'Roan@saregama.com</v>
      </c>
      <c r="E152" s="5">
        <v>35654</v>
      </c>
      <c r="F152" s="6">
        <f ca="1">RANDBETWEEN(0,6)+((TODAY() - 'Employee Onboarding'!E152)/365.25)</f>
        <v>23.159479808350444</v>
      </c>
      <c r="G152" t="s">
        <v>476</v>
      </c>
      <c r="H152" s="2" t="s">
        <v>62</v>
      </c>
      <c r="I152" s="13" t="s">
        <v>63</v>
      </c>
    </row>
    <row r="153" spans="1:9" x14ac:dyDescent="0.3">
      <c r="A153" s="2">
        <v>107547</v>
      </c>
      <c r="B153" t="s">
        <v>477</v>
      </c>
      <c r="C153" t="s">
        <v>478</v>
      </c>
      <c r="D153" t="str">
        <f>_xlfn.CONCAT(Tbl_Emp_Onboarding[[#This Row],[First Name]],".",Tbl_Emp_Onboarding[[#This Row],[Last Name]],"@saregama.com")</f>
        <v>Virge.Tomet@saregama.com</v>
      </c>
      <c r="E153" s="5">
        <v>38253</v>
      </c>
      <c r="F153" s="6">
        <f ca="1">RANDBETWEEN(0,6)+((TODAY() - 'Employee Onboarding'!E153)/365.25)</f>
        <v>18.043805612594113</v>
      </c>
      <c r="G153" t="s">
        <v>479</v>
      </c>
      <c r="H153" s="2" t="s">
        <v>17</v>
      </c>
      <c r="I153" s="13" t="s">
        <v>13</v>
      </c>
    </row>
    <row r="154" spans="1:9" x14ac:dyDescent="0.3">
      <c r="A154" s="2">
        <v>105204</v>
      </c>
      <c r="B154" t="s">
        <v>480</v>
      </c>
      <c r="C154" t="s">
        <v>481</v>
      </c>
      <c r="D154" t="str">
        <f>_xlfn.CONCAT(Tbl_Emp_Onboarding[[#This Row],[First Name]],".",Tbl_Emp_Onboarding[[#This Row],[Last Name]],"@saregama.com")</f>
        <v>Red.Cottrell@saregama.com</v>
      </c>
      <c r="E154" s="5">
        <v>37919</v>
      </c>
      <c r="F154" s="6">
        <f ca="1">RANDBETWEEN(0,6)+((TODAY() - 'Employee Onboarding'!E154)/365.25)</f>
        <v>19.958247775496236</v>
      </c>
      <c r="G154" t="s">
        <v>366</v>
      </c>
      <c r="H154" s="2" t="s">
        <v>17</v>
      </c>
      <c r="I154" s="13" t="s">
        <v>46</v>
      </c>
    </row>
    <row r="155" spans="1:9" x14ac:dyDescent="0.3">
      <c r="A155" s="2">
        <v>104305</v>
      </c>
      <c r="B155" t="s">
        <v>482</v>
      </c>
      <c r="C155" t="s">
        <v>483</v>
      </c>
      <c r="D155" t="str">
        <f>_xlfn.CONCAT(Tbl_Emp_Onboarding[[#This Row],[First Name]],".",Tbl_Emp_Onboarding[[#This Row],[Last Name]],"@saregama.com")</f>
        <v>Randene.Meachen@saregama.com</v>
      </c>
      <c r="E155" s="5">
        <v>43906</v>
      </c>
      <c r="F155" s="6">
        <f ca="1">RANDBETWEEN(0,6)+((TODAY() - 'Employee Onboarding'!E155)/365.25)</f>
        <v>4.5667351129363452</v>
      </c>
      <c r="G155" t="s">
        <v>484</v>
      </c>
      <c r="H155" s="2" t="s">
        <v>12</v>
      </c>
      <c r="I155" s="13" t="s">
        <v>35</v>
      </c>
    </row>
    <row r="156" spans="1:9" x14ac:dyDescent="0.3">
      <c r="A156" s="2">
        <v>103624</v>
      </c>
      <c r="B156" t="s">
        <v>485</v>
      </c>
      <c r="C156" t="s">
        <v>486</v>
      </c>
      <c r="D156" t="str">
        <f>_xlfn.CONCAT(Tbl_Emp_Onboarding[[#This Row],[First Name]],".",Tbl_Emp_Onboarding[[#This Row],[Last Name]],"@saregama.com")</f>
        <v>Mariette.Mossom@saregama.com</v>
      </c>
      <c r="E156" s="5">
        <v>43722</v>
      </c>
      <c r="F156" s="6">
        <f ca="1">RANDBETWEEN(0,6)+((TODAY() - 'Employee Onboarding'!E156)/365.25)</f>
        <v>7.0704996577686519</v>
      </c>
      <c r="G156" t="s">
        <v>487</v>
      </c>
      <c r="H156" s="2" t="s">
        <v>21</v>
      </c>
      <c r="I156" s="13" t="s">
        <v>22</v>
      </c>
    </row>
    <row r="157" spans="1:9" x14ac:dyDescent="0.3">
      <c r="A157" s="2">
        <v>106787</v>
      </c>
      <c r="B157" t="s">
        <v>488</v>
      </c>
      <c r="C157" t="s">
        <v>489</v>
      </c>
      <c r="D157" t="str">
        <f>_xlfn.CONCAT(Tbl_Emp_Onboarding[[#This Row],[First Name]],".",Tbl_Emp_Onboarding[[#This Row],[Last Name]],"@saregama.com")</f>
        <v>Neal.Ford@saregama.com</v>
      </c>
      <c r="E157" s="5">
        <v>34838</v>
      </c>
      <c r="F157" s="6">
        <f ca="1">RANDBETWEEN(0,6)+((TODAY() - 'Employee Onboarding'!E157)/365.25)</f>
        <v>26.393566050650239</v>
      </c>
      <c r="G157" t="s">
        <v>490</v>
      </c>
      <c r="H157" s="2" t="s">
        <v>12</v>
      </c>
      <c r="I157" s="13" t="s">
        <v>46</v>
      </c>
    </row>
    <row r="158" spans="1:9" x14ac:dyDescent="0.3">
      <c r="A158" s="2">
        <v>106080</v>
      </c>
      <c r="B158" t="s">
        <v>491</v>
      </c>
      <c r="C158" t="s">
        <v>492</v>
      </c>
      <c r="D158" t="str">
        <f>_xlfn.CONCAT(Tbl_Emp_Onboarding[[#This Row],[First Name]],".",Tbl_Emp_Onboarding[[#This Row],[Last Name]],"@saregama.com")</f>
        <v>Selinda.Rosenfield@saregama.com</v>
      </c>
      <c r="E158" s="5">
        <v>42606</v>
      </c>
      <c r="F158" s="6">
        <f ca="1">RANDBETWEEN(0,6)+((TODAY() - 'Employee Onboarding'!E158)/365.25)</f>
        <v>9.1259411362080769</v>
      </c>
      <c r="G158" t="s">
        <v>493</v>
      </c>
      <c r="H158" s="2" t="s">
        <v>62</v>
      </c>
      <c r="I158" s="13" t="s">
        <v>63</v>
      </c>
    </row>
    <row r="159" spans="1:9" x14ac:dyDescent="0.3">
      <c r="A159" s="2">
        <v>103488</v>
      </c>
      <c r="B159" t="s">
        <v>494</v>
      </c>
      <c r="C159" t="s">
        <v>495</v>
      </c>
      <c r="D159" t="str">
        <f>_xlfn.CONCAT(Tbl_Emp_Onboarding[[#This Row],[First Name]],".",Tbl_Emp_Onboarding[[#This Row],[Last Name]],"@saregama.com")</f>
        <v>Brina.Huggett@saregama.com</v>
      </c>
      <c r="E159" s="5">
        <v>41894</v>
      </c>
      <c r="F159" s="6">
        <f ca="1">RANDBETWEEN(0,6)+((TODAY() - 'Employee Onboarding'!E159)/365.25)</f>
        <v>10.075290896646134</v>
      </c>
      <c r="G159" t="s">
        <v>496</v>
      </c>
      <c r="H159" s="2" t="s">
        <v>17</v>
      </c>
      <c r="I159" s="13" t="s">
        <v>35</v>
      </c>
    </row>
    <row r="160" spans="1:9" x14ac:dyDescent="0.3">
      <c r="A160" s="2">
        <v>105861</v>
      </c>
      <c r="B160" t="s">
        <v>497</v>
      </c>
      <c r="C160" t="s">
        <v>498</v>
      </c>
      <c r="D160" t="str">
        <f>_xlfn.CONCAT(Tbl_Emp_Onboarding[[#This Row],[First Name]],".",Tbl_Emp_Onboarding[[#This Row],[Last Name]],"@saregama.com")</f>
        <v>Denyse.Ortmann@saregama.com</v>
      </c>
      <c r="E160" s="5">
        <v>37399</v>
      </c>
      <c r="F160" s="6">
        <f ca="1">RANDBETWEEN(0,6)+((TODAY() - 'Employee Onboarding'!E160)/365.25)</f>
        <v>22.381930184804929</v>
      </c>
      <c r="G160" t="s">
        <v>499</v>
      </c>
      <c r="H160" s="2" t="s">
        <v>21</v>
      </c>
      <c r="I160" s="13" t="s">
        <v>22</v>
      </c>
    </row>
    <row r="161" spans="1:9" x14ac:dyDescent="0.3">
      <c r="A161" s="2">
        <v>102351</v>
      </c>
      <c r="B161" t="s">
        <v>500</v>
      </c>
      <c r="C161" t="s">
        <v>501</v>
      </c>
      <c r="D161" t="str">
        <f>_xlfn.CONCAT(Tbl_Emp_Onboarding[[#This Row],[First Name]],".",Tbl_Emp_Onboarding[[#This Row],[Last Name]],"@saregama.com")</f>
        <v>Dylan.Arro@saregama.com</v>
      </c>
      <c r="E161" s="5">
        <v>40169</v>
      </c>
      <c r="F161" s="6">
        <f ca="1">RANDBETWEEN(0,6)+((TODAY() - 'Employee Onboarding'!E161)/365.25)</f>
        <v>10.798083504449007</v>
      </c>
      <c r="G161" t="s">
        <v>502</v>
      </c>
      <c r="H161" s="2" t="s">
        <v>62</v>
      </c>
      <c r="I161" s="13" t="s">
        <v>63</v>
      </c>
    </row>
    <row r="162" spans="1:9" x14ac:dyDescent="0.3">
      <c r="A162" s="2">
        <v>107697</v>
      </c>
      <c r="B162" t="s">
        <v>503</v>
      </c>
      <c r="C162" t="s">
        <v>504</v>
      </c>
      <c r="D162" t="str">
        <f>_xlfn.CONCAT(Tbl_Emp_Onboarding[[#This Row],[First Name]],".",Tbl_Emp_Onboarding[[#This Row],[Last Name]],"@saregama.com")</f>
        <v>Vite.Thys@saregama.com</v>
      </c>
      <c r="E162" s="5">
        <v>33674</v>
      </c>
      <c r="F162" s="6">
        <f ca="1">RANDBETWEEN(0,6)+((TODAY() - 'Employee Onboarding'!E162)/365.25)</f>
        <v>34.580424366872009</v>
      </c>
      <c r="G162" t="s">
        <v>505</v>
      </c>
      <c r="H162" s="2" t="s">
        <v>12</v>
      </c>
      <c r="I162" s="13" t="s">
        <v>42</v>
      </c>
    </row>
    <row r="163" spans="1:9" x14ac:dyDescent="0.3">
      <c r="A163" s="2">
        <v>107658</v>
      </c>
      <c r="B163" t="s">
        <v>506</v>
      </c>
      <c r="C163" t="s">
        <v>507</v>
      </c>
      <c r="D163" t="str">
        <f>_xlfn.CONCAT(Tbl_Emp_Onboarding[[#This Row],[First Name]],".",Tbl_Emp_Onboarding[[#This Row],[Last Name]],"@saregama.com")</f>
        <v>Noell.Leverett@saregama.com</v>
      </c>
      <c r="E163" s="5">
        <v>41894</v>
      </c>
      <c r="F163" s="6">
        <f ca="1">RANDBETWEEN(0,6)+((TODAY() - 'Employee Onboarding'!E163)/365.25)</f>
        <v>6.0752908966461332</v>
      </c>
      <c r="G163" t="s">
        <v>508</v>
      </c>
      <c r="H163" s="2" t="s">
        <v>50</v>
      </c>
      <c r="I163" s="13" t="s">
        <v>63</v>
      </c>
    </row>
    <row r="164" spans="1:9" x14ac:dyDescent="0.3">
      <c r="A164" s="2">
        <v>105503</v>
      </c>
      <c r="B164" t="s">
        <v>509</v>
      </c>
      <c r="C164" t="s">
        <v>510</v>
      </c>
      <c r="D164" t="str">
        <f>_xlfn.CONCAT(Tbl_Emp_Onboarding[[#This Row],[First Name]],".",Tbl_Emp_Onboarding[[#This Row],[Last Name]],"@saregama.com")</f>
        <v>Debora.Ham@saregama.com</v>
      </c>
      <c r="E164" s="5">
        <v>29031</v>
      </c>
      <c r="F164" s="6">
        <f ca="1">RANDBETWEEN(0,6)+((TODAY() - 'Employee Onboarding'!E164)/365.25)</f>
        <v>46.29226557152635</v>
      </c>
      <c r="G164" t="s">
        <v>511</v>
      </c>
      <c r="H164" s="2" t="s">
        <v>62</v>
      </c>
      <c r="I164" s="13" t="s">
        <v>129</v>
      </c>
    </row>
    <row r="165" spans="1:9" x14ac:dyDescent="0.3">
      <c r="A165" s="2">
        <v>107728</v>
      </c>
      <c r="B165" t="s">
        <v>512</v>
      </c>
      <c r="C165" t="s">
        <v>513</v>
      </c>
      <c r="D165" t="str">
        <f>_xlfn.CONCAT(Tbl_Emp_Onboarding[[#This Row],[First Name]],".",Tbl_Emp_Onboarding[[#This Row],[Last Name]],"@saregama.com")</f>
        <v>Obadias.Kennewell@saregama.com</v>
      </c>
      <c r="E165" s="5">
        <v>38833</v>
      </c>
      <c r="F165" s="6">
        <f ca="1">RANDBETWEEN(0,6)+((TODAY() - 'Employee Onboarding'!E165)/365.25)</f>
        <v>17.455852156057496</v>
      </c>
      <c r="G165" t="s">
        <v>514</v>
      </c>
      <c r="H165" s="2" t="s">
        <v>62</v>
      </c>
      <c r="I165" s="13" t="s">
        <v>63</v>
      </c>
    </row>
    <row r="166" spans="1:9" x14ac:dyDescent="0.3">
      <c r="A166" s="2">
        <v>104974</v>
      </c>
      <c r="B166" t="s">
        <v>515</v>
      </c>
      <c r="C166" t="s">
        <v>516</v>
      </c>
      <c r="D166" t="str">
        <f>_xlfn.CONCAT(Tbl_Emp_Onboarding[[#This Row],[First Name]],".",Tbl_Emp_Onboarding[[#This Row],[Last Name]],"@saregama.com")</f>
        <v>Zarah.Dyett@saregama.com</v>
      </c>
      <c r="E166" s="5">
        <v>41301</v>
      </c>
      <c r="F166" s="6">
        <f ca="1">RANDBETWEEN(0,6)+((TODAY() - 'Employee Onboarding'!E166)/365.25)</f>
        <v>10.698836413415469</v>
      </c>
      <c r="G166" t="s">
        <v>517</v>
      </c>
      <c r="H166" s="2" t="s">
        <v>62</v>
      </c>
      <c r="I166" s="13" t="s">
        <v>51</v>
      </c>
    </row>
    <row r="167" spans="1:9" x14ac:dyDescent="0.3">
      <c r="A167" s="2">
        <v>103736</v>
      </c>
      <c r="B167" t="s">
        <v>518</v>
      </c>
      <c r="C167" t="s">
        <v>519</v>
      </c>
      <c r="D167" t="str">
        <f>_xlfn.CONCAT(Tbl_Emp_Onboarding[[#This Row],[First Name]],".",Tbl_Emp_Onboarding[[#This Row],[Last Name]],"@saregama.com")</f>
        <v>Peirce.Glassman@saregama.com</v>
      </c>
      <c r="E167" s="5">
        <v>40844</v>
      </c>
      <c r="F167" s="6">
        <f ca="1">RANDBETWEEN(0,6)+((TODAY() - 'Employee Onboarding'!E167)/365.25)</f>
        <v>12.950034223134839</v>
      </c>
      <c r="G167" t="s">
        <v>520</v>
      </c>
      <c r="H167" s="2" t="s">
        <v>55</v>
      </c>
      <c r="I167" s="13" t="s">
        <v>22</v>
      </c>
    </row>
    <row r="168" spans="1:9" x14ac:dyDescent="0.3">
      <c r="A168" s="2">
        <v>104098</v>
      </c>
      <c r="B168" t="s">
        <v>521</v>
      </c>
      <c r="C168" t="s">
        <v>522</v>
      </c>
      <c r="D168" t="str">
        <f>_xlfn.CONCAT(Tbl_Emp_Onboarding[[#This Row],[First Name]],".",Tbl_Emp_Onboarding[[#This Row],[Last Name]],"@saregama.com")</f>
        <v>Merrill.Giacaponi@saregama.com</v>
      </c>
      <c r="E168" s="5">
        <v>39287</v>
      </c>
      <c r="F168" s="6">
        <f ca="1">RANDBETWEEN(0,6)+((TODAY() - 'Employee Onboarding'!E168)/365.25)</f>
        <v>13.212867898699521</v>
      </c>
      <c r="G168" t="s">
        <v>523</v>
      </c>
      <c r="H168" s="2" t="s">
        <v>62</v>
      </c>
      <c r="I168" s="13" t="s">
        <v>63</v>
      </c>
    </row>
    <row r="169" spans="1:9" x14ac:dyDescent="0.3">
      <c r="A169" s="2">
        <v>107343</v>
      </c>
      <c r="B169" t="s">
        <v>524</v>
      </c>
      <c r="C169" t="s">
        <v>525</v>
      </c>
      <c r="D169" t="str">
        <f>_xlfn.CONCAT(Tbl_Emp_Onboarding[[#This Row],[First Name]],".",Tbl_Emp_Onboarding[[#This Row],[Last Name]],"@saregama.com")</f>
        <v>Batholomew.Hillan@saregama.com</v>
      </c>
      <c r="E169" s="5">
        <v>40476</v>
      </c>
      <c r="F169" s="6">
        <f ca="1">RANDBETWEEN(0,6)+((TODAY() - 'Employee Onboarding'!E169)/365.25)</f>
        <v>15.957563312799453</v>
      </c>
      <c r="G169" t="s">
        <v>526</v>
      </c>
      <c r="H169" s="2" t="s">
        <v>17</v>
      </c>
      <c r="I169" s="13" t="s">
        <v>13</v>
      </c>
    </row>
    <row r="170" spans="1:9" x14ac:dyDescent="0.3">
      <c r="A170" s="2">
        <v>105647</v>
      </c>
      <c r="B170" t="s">
        <v>527</v>
      </c>
      <c r="C170" t="s">
        <v>528</v>
      </c>
      <c r="D170" t="str">
        <f>_xlfn.CONCAT(Tbl_Emp_Onboarding[[#This Row],[First Name]],".",Tbl_Emp_Onboarding[[#This Row],[Last Name]],"@saregama.com")</f>
        <v>Calypso.McGeneay@saregama.com</v>
      </c>
      <c r="E170" s="5">
        <v>33667</v>
      </c>
      <c r="F170" s="6">
        <f ca="1">RANDBETWEEN(0,6)+((TODAY() - 'Employee Onboarding'!E170)/365.25)</f>
        <v>28.599589322381931</v>
      </c>
      <c r="G170" t="s">
        <v>529</v>
      </c>
      <c r="H170" s="2" t="s">
        <v>62</v>
      </c>
      <c r="I170" s="13" t="s">
        <v>63</v>
      </c>
    </row>
    <row r="171" spans="1:9" x14ac:dyDescent="0.3">
      <c r="A171" s="2">
        <v>103216</v>
      </c>
      <c r="B171" t="s">
        <v>530</v>
      </c>
      <c r="C171" t="s">
        <v>531</v>
      </c>
      <c r="D171" t="str">
        <f>_xlfn.CONCAT(Tbl_Emp_Onboarding[[#This Row],[First Name]],".",Tbl_Emp_Onboarding[[#This Row],[Last Name]],"@saregama.com")</f>
        <v>Rhodia.Eakeley@saregama.com</v>
      </c>
      <c r="E171" s="5">
        <v>36637</v>
      </c>
      <c r="F171" s="6">
        <f ca="1">RANDBETWEEN(0,6)+((TODAY() - 'Employee Onboarding'!E171)/365.25)</f>
        <v>23.468172484599588</v>
      </c>
      <c r="G171" t="s">
        <v>532</v>
      </c>
      <c r="H171" s="2" t="s">
        <v>55</v>
      </c>
      <c r="I171" s="13" t="s">
        <v>22</v>
      </c>
    </row>
    <row r="172" spans="1:9" x14ac:dyDescent="0.3">
      <c r="A172" s="2">
        <v>104836</v>
      </c>
      <c r="B172" t="s">
        <v>533</v>
      </c>
      <c r="C172" t="s">
        <v>534</v>
      </c>
      <c r="D172" t="str">
        <f>_xlfn.CONCAT(Tbl_Emp_Onboarding[[#This Row],[First Name]],".",Tbl_Emp_Onboarding[[#This Row],[Last Name]],"@saregama.com")</f>
        <v>Malvina.Alvey@saregama.com</v>
      </c>
      <c r="E172" s="5">
        <v>37970</v>
      </c>
      <c r="F172" s="6">
        <f ca="1">RANDBETWEEN(0,6)+((TODAY() - 'Employee Onboarding'!E172)/365.25)</f>
        <v>19.8186173853525</v>
      </c>
      <c r="G172" t="s">
        <v>535</v>
      </c>
      <c r="H172" s="2" t="s">
        <v>62</v>
      </c>
      <c r="I172" s="13" t="s">
        <v>63</v>
      </c>
    </row>
    <row r="173" spans="1:9" x14ac:dyDescent="0.3">
      <c r="A173" s="2">
        <v>106398</v>
      </c>
      <c r="B173" t="s">
        <v>536</v>
      </c>
      <c r="C173" t="s">
        <v>537</v>
      </c>
      <c r="D173" t="str">
        <f>_xlfn.CONCAT(Tbl_Emp_Onboarding[[#This Row],[First Name]],".",Tbl_Emp_Onboarding[[#This Row],[Last Name]],"@saregama.com")</f>
        <v>Skipton.Matushevich@saregama.com</v>
      </c>
      <c r="E173" s="5">
        <v>38288</v>
      </c>
      <c r="F173" s="6">
        <f ca="1">RANDBETWEEN(0,6)+((TODAY() - 'Employee Onboarding'!E173)/365.25)</f>
        <v>18.94798083504449</v>
      </c>
      <c r="G173" t="s">
        <v>538</v>
      </c>
      <c r="H173" s="2" t="s">
        <v>50</v>
      </c>
      <c r="I173" s="13" t="s">
        <v>63</v>
      </c>
    </row>
    <row r="174" spans="1:9" x14ac:dyDescent="0.3">
      <c r="A174" s="2">
        <v>102467</v>
      </c>
      <c r="B174" t="s">
        <v>67</v>
      </c>
      <c r="C174" t="s">
        <v>539</v>
      </c>
      <c r="D174" t="str">
        <f>_xlfn.CONCAT(Tbl_Emp_Onboarding[[#This Row],[First Name]],".",Tbl_Emp_Onboarding[[#This Row],[Last Name]],"@saregama.com")</f>
        <v>Sharity.Iglesias@saregama.com</v>
      </c>
      <c r="E174" s="5">
        <v>36443</v>
      </c>
      <c r="F174" s="6">
        <f ca="1">RANDBETWEEN(0,6)+((TODAY() - 'Employee Onboarding'!E174)/365.25)</f>
        <v>23.999315537303218</v>
      </c>
      <c r="G174" t="s">
        <v>540</v>
      </c>
      <c r="H174" s="2" t="s">
        <v>12</v>
      </c>
      <c r="I174" s="13" t="s">
        <v>113</v>
      </c>
    </row>
    <row r="175" spans="1:9" x14ac:dyDescent="0.3">
      <c r="A175" s="2">
        <v>104411</v>
      </c>
      <c r="B175" t="s">
        <v>541</v>
      </c>
      <c r="C175" t="s">
        <v>542</v>
      </c>
      <c r="D175" t="str">
        <f>_xlfn.CONCAT(Tbl_Emp_Onboarding[[#This Row],[First Name]],".",Tbl_Emp_Onboarding[[#This Row],[Last Name]],"@saregama.com")</f>
        <v>Saw.Jellicorse@saregama.com</v>
      </c>
      <c r="E175" s="5">
        <v>36140</v>
      </c>
      <c r="F175" s="6">
        <f ca="1">RANDBETWEEN(0,6)+((TODAY() - 'Employee Onboarding'!E175)/365.25)</f>
        <v>24.828884325804243</v>
      </c>
      <c r="G175" t="s">
        <v>543</v>
      </c>
      <c r="H175" s="2" t="s">
        <v>12</v>
      </c>
      <c r="I175" s="13" t="s">
        <v>113</v>
      </c>
    </row>
    <row r="176" spans="1:9" x14ac:dyDescent="0.3">
      <c r="A176" s="2">
        <v>107191</v>
      </c>
      <c r="B176" t="s">
        <v>544</v>
      </c>
      <c r="C176" t="s">
        <v>545</v>
      </c>
      <c r="D176" t="str">
        <f>_xlfn.CONCAT(Tbl_Emp_Onboarding[[#This Row],[First Name]],".",Tbl_Emp_Onboarding[[#This Row],[Last Name]],"@saregama.com")</f>
        <v>Marietta.Lodin@saregama.com</v>
      </c>
      <c r="E176" s="5">
        <v>40792</v>
      </c>
      <c r="F176" s="6">
        <f ca="1">RANDBETWEEN(0,6)+((TODAY() - 'Employee Onboarding'!E176)/365.25)</f>
        <v>13.092402464065708</v>
      </c>
      <c r="G176" t="s">
        <v>546</v>
      </c>
      <c r="H176" s="2" t="s">
        <v>62</v>
      </c>
      <c r="I176" s="13" t="s">
        <v>63</v>
      </c>
    </row>
    <row r="177" spans="1:9" x14ac:dyDescent="0.3">
      <c r="A177" s="2">
        <v>105655</v>
      </c>
      <c r="B177" t="s">
        <v>547</v>
      </c>
      <c r="C177" t="s">
        <v>548</v>
      </c>
      <c r="D177" t="str">
        <f>_xlfn.CONCAT(Tbl_Emp_Onboarding[[#This Row],[First Name]],".",Tbl_Emp_Onboarding[[#This Row],[Last Name]],"@saregama.com")</f>
        <v>Carmine.Tebald@saregama.com</v>
      </c>
      <c r="E177" s="5">
        <v>41251</v>
      </c>
      <c r="F177" s="6">
        <f ca="1">RANDBETWEEN(0,6)+((TODAY() - 'Employee Onboarding'!E177)/365.25)</f>
        <v>10.835728952772074</v>
      </c>
      <c r="G177" t="s">
        <v>549</v>
      </c>
      <c r="H177" s="2" t="s">
        <v>50</v>
      </c>
      <c r="I177" s="13" t="s">
        <v>51</v>
      </c>
    </row>
    <row r="178" spans="1:9" x14ac:dyDescent="0.3">
      <c r="A178" s="2">
        <v>106256</v>
      </c>
      <c r="B178" t="s">
        <v>550</v>
      </c>
      <c r="C178" t="s">
        <v>551</v>
      </c>
      <c r="D178" t="str">
        <f>_xlfn.CONCAT(Tbl_Emp_Onboarding[[#This Row],[First Name]],".",Tbl_Emp_Onboarding[[#This Row],[Last Name]],"@saregama.com")</f>
        <v>Jerrilee.Albisser@saregama.com</v>
      </c>
      <c r="E178" s="5">
        <v>39070</v>
      </c>
      <c r="F178" s="6">
        <f ca="1">RANDBETWEEN(0,6)+((TODAY() - 'Employee Onboarding'!E178)/365.25)</f>
        <v>14.806981519507186</v>
      </c>
      <c r="G178" t="s">
        <v>552</v>
      </c>
      <c r="H178" s="2" t="s">
        <v>21</v>
      </c>
      <c r="I178" s="13" t="s">
        <v>22</v>
      </c>
    </row>
    <row r="179" spans="1:9" x14ac:dyDescent="0.3">
      <c r="A179" s="2">
        <v>104090</v>
      </c>
      <c r="B179" t="s">
        <v>553</v>
      </c>
      <c r="C179" t="s">
        <v>554</v>
      </c>
      <c r="D179" t="str">
        <f>_xlfn.CONCAT(Tbl_Emp_Onboarding[[#This Row],[First Name]],".",Tbl_Emp_Onboarding[[#This Row],[Last Name]],"@saregama.com")</f>
        <v>Marcelia.Layhe@saregama.com</v>
      </c>
      <c r="E179" s="5">
        <v>29026</v>
      </c>
      <c r="F179" s="6">
        <f ca="1">RANDBETWEEN(0,6)+((TODAY() - 'Employee Onboarding'!E179)/365.25)</f>
        <v>44.30595482546201</v>
      </c>
      <c r="G179" t="s">
        <v>555</v>
      </c>
      <c r="H179" s="2" t="s">
        <v>17</v>
      </c>
      <c r="I179" s="13" t="s">
        <v>42</v>
      </c>
    </row>
    <row r="180" spans="1:9" x14ac:dyDescent="0.3">
      <c r="A180" s="2">
        <v>103177</v>
      </c>
      <c r="B180" t="s">
        <v>556</v>
      </c>
      <c r="C180" t="s">
        <v>557</v>
      </c>
      <c r="D180" t="str">
        <f>_xlfn.CONCAT(Tbl_Emp_Onboarding[[#This Row],[First Name]],".",Tbl_Emp_Onboarding[[#This Row],[Last Name]],"@saregama.com")</f>
        <v>Sarena.Dollin@saregama.com</v>
      </c>
      <c r="E180" s="5">
        <v>33122</v>
      </c>
      <c r="F180" s="6">
        <f ca="1">RANDBETWEEN(0,6)+((TODAY() - 'Employee Onboarding'!E180)/365.25)</f>
        <v>34.091718001368925</v>
      </c>
      <c r="G180" t="s">
        <v>558</v>
      </c>
      <c r="H180" s="2" t="s">
        <v>50</v>
      </c>
      <c r="I180" s="13" t="s">
        <v>63</v>
      </c>
    </row>
    <row r="181" spans="1:9" x14ac:dyDescent="0.3">
      <c r="A181" s="2">
        <v>104401</v>
      </c>
      <c r="B181" t="s">
        <v>559</v>
      </c>
      <c r="C181" t="s">
        <v>560</v>
      </c>
      <c r="D181" t="str">
        <f>_xlfn.CONCAT(Tbl_Emp_Onboarding[[#This Row],[First Name]],".",Tbl_Emp_Onboarding[[#This Row],[Last Name]],"@saregama.com")</f>
        <v>Avery.Giovanardi@saregama.com</v>
      </c>
      <c r="E181" s="5">
        <v>40254</v>
      </c>
      <c r="F181" s="6">
        <f ca="1">RANDBETWEEN(0,6)+((TODAY() - 'Employee Onboarding'!E181)/365.25)</f>
        <v>13.565366187542779</v>
      </c>
      <c r="G181" t="s">
        <v>561</v>
      </c>
      <c r="H181" s="2" t="s">
        <v>12</v>
      </c>
      <c r="I181" s="13" t="s">
        <v>46</v>
      </c>
    </row>
    <row r="182" spans="1:9" x14ac:dyDescent="0.3">
      <c r="A182" s="2">
        <v>102261</v>
      </c>
      <c r="B182" t="s">
        <v>562</v>
      </c>
      <c r="C182" t="s">
        <v>563</v>
      </c>
      <c r="D182" t="str">
        <f>_xlfn.CONCAT(Tbl_Emp_Onboarding[[#This Row],[First Name]],".",Tbl_Emp_Onboarding[[#This Row],[Last Name]],"@saregama.com")</f>
        <v>Marj.Batterbee@saregama.com</v>
      </c>
      <c r="E182" s="5">
        <v>30931</v>
      </c>
      <c r="F182" s="6">
        <f ca="1">RANDBETWEEN(0,6)+((TODAY() - 'Employee Onboarding'!E182)/365.25)</f>
        <v>37.090349075975361</v>
      </c>
      <c r="G182" t="s">
        <v>564</v>
      </c>
      <c r="H182" s="2" t="s">
        <v>17</v>
      </c>
      <c r="I182" s="13" t="s">
        <v>42</v>
      </c>
    </row>
    <row r="183" spans="1:9" x14ac:dyDescent="0.3">
      <c r="A183" s="2">
        <v>102979</v>
      </c>
      <c r="B183" t="s">
        <v>565</v>
      </c>
      <c r="C183" t="s">
        <v>566</v>
      </c>
      <c r="D183" t="str">
        <f>_xlfn.CONCAT(Tbl_Emp_Onboarding[[#This Row],[First Name]],".",Tbl_Emp_Onboarding[[#This Row],[Last Name]],"@saregama.com")</f>
        <v>Bastian.Hughland@saregama.com</v>
      </c>
      <c r="E183" s="5">
        <v>44101</v>
      </c>
      <c r="F183" s="6">
        <f ca="1">RANDBETWEEN(0,6)+((TODAY() - 'Employee Onboarding'!E183)/365.25)</f>
        <v>3.0328542094455853</v>
      </c>
      <c r="G183" t="s">
        <v>567</v>
      </c>
      <c r="H183" s="2" t="s">
        <v>62</v>
      </c>
      <c r="I183" s="13" t="s">
        <v>568</v>
      </c>
    </row>
    <row r="184" spans="1:9" x14ac:dyDescent="0.3">
      <c r="A184" s="2">
        <v>107385</v>
      </c>
      <c r="B184" t="s">
        <v>569</v>
      </c>
      <c r="C184" t="s">
        <v>570</v>
      </c>
      <c r="D184" t="str">
        <f>_xlfn.CONCAT(Tbl_Emp_Onboarding[[#This Row],[First Name]],".",Tbl_Emp_Onboarding[[#This Row],[Last Name]],"@saregama.com")</f>
        <v>Gretel.Kemwall@saregama.com</v>
      </c>
      <c r="E184" s="5">
        <v>40678</v>
      </c>
      <c r="F184" s="6">
        <f ca="1">RANDBETWEEN(0,6)+((TODAY() - 'Employee Onboarding'!E184)/365.25)</f>
        <v>12.404517453798768</v>
      </c>
      <c r="G184" t="s">
        <v>571</v>
      </c>
      <c r="H184" s="2" t="s">
        <v>50</v>
      </c>
      <c r="I184" s="13" t="s">
        <v>63</v>
      </c>
    </row>
    <row r="185" spans="1:9" x14ac:dyDescent="0.3">
      <c r="A185" s="2">
        <v>107852</v>
      </c>
      <c r="B185" t="s">
        <v>572</v>
      </c>
      <c r="C185" t="s">
        <v>573</v>
      </c>
      <c r="D185" t="str">
        <f>_xlfn.CONCAT(Tbl_Emp_Onboarding[[#This Row],[First Name]],".",Tbl_Emp_Onboarding[[#This Row],[Last Name]],"@saregama.com")</f>
        <v>Sandra.Delagua@saregama.com</v>
      </c>
      <c r="E185" s="5">
        <v>42687</v>
      </c>
      <c r="F185" s="6">
        <f ca="1">RANDBETWEEN(0,6)+((TODAY() - 'Employee Onboarding'!E185)/365.25)</f>
        <v>6.9041752224503767</v>
      </c>
      <c r="G185" t="s">
        <v>574</v>
      </c>
      <c r="H185" s="2" t="s">
        <v>17</v>
      </c>
      <c r="I185" s="13" t="s">
        <v>13</v>
      </c>
    </row>
    <row r="186" spans="1:9" x14ac:dyDescent="0.3">
      <c r="A186" s="2">
        <v>103059</v>
      </c>
      <c r="B186" t="s">
        <v>575</v>
      </c>
      <c r="C186" t="s">
        <v>576</v>
      </c>
      <c r="D186" t="str">
        <f>_xlfn.CONCAT(Tbl_Emp_Onboarding[[#This Row],[First Name]],".",Tbl_Emp_Onboarding[[#This Row],[Last Name]],"@saregama.com")</f>
        <v>Gabbie.Joselson@saregama.com</v>
      </c>
      <c r="E186" s="5">
        <v>40308</v>
      </c>
      <c r="F186" s="6">
        <f ca="1">RANDBETWEEN(0,6)+((TODAY() - 'Employee Onboarding'!E186)/365.25)</f>
        <v>14.417522245037645</v>
      </c>
      <c r="G186" t="s">
        <v>577</v>
      </c>
      <c r="H186" s="2" t="s">
        <v>62</v>
      </c>
      <c r="I186" s="13" t="s">
        <v>51</v>
      </c>
    </row>
    <row r="187" spans="1:9" x14ac:dyDescent="0.3">
      <c r="A187" s="2">
        <v>105387</v>
      </c>
      <c r="B187" t="s">
        <v>578</v>
      </c>
      <c r="C187" t="s">
        <v>579</v>
      </c>
      <c r="D187" t="str">
        <f>_xlfn.CONCAT(Tbl_Emp_Onboarding[[#This Row],[First Name]],".",Tbl_Emp_Onboarding[[#This Row],[Last Name]],"@saregama.com")</f>
        <v>Bertha.Biskupski@saregama.com</v>
      </c>
      <c r="E187" s="5">
        <v>38725</v>
      </c>
      <c r="F187" s="6">
        <f ca="1">RANDBETWEEN(0,6)+((TODAY() - 'Employee Onboarding'!E187)/365.25)</f>
        <v>20.751540041067763</v>
      </c>
      <c r="G187" t="s">
        <v>580</v>
      </c>
      <c r="H187" s="2" t="s">
        <v>12</v>
      </c>
      <c r="I187" s="13" t="s">
        <v>35</v>
      </c>
    </row>
    <row r="188" spans="1:9" x14ac:dyDescent="0.3">
      <c r="A188" s="2">
        <v>105119</v>
      </c>
      <c r="B188" t="s">
        <v>581</v>
      </c>
      <c r="C188" t="s">
        <v>582</v>
      </c>
      <c r="D188" t="str">
        <f>_xlfn.CONCAT(Tbl_Emp_Onboarding[[#This Row],[First Name]],".",Tbl_Emp_Onboarding[[#This Row],[Last Name]],"@saregama.com")</f>
        <v>Aloysia.Doolan@saregama.com</v>
      </c>
      <c r="E188" s="5">
        <v>43156</v>
      </c>
      <c r="F188" s="6">
        <f ca="1">RANDBETWEEN(0,6)+((TODAY() - 'Employee Onboarding'!E188)/365.25)</f>
        <v>2.6201232032854209</v>
      </c>
      <c r="G188" t="s">
        <v>583</v>
      </c>
      <c r="H188" s="2" t="s">
        <v>12</v>
      </c>
      <c r="I188" s="13" t="s">
        <v>35</v>
      </c>
    </row>
    <row r="189" spans="1:9" x14ac:dyDescent="0.3">
      <c r="A189" s="2">
        <v>102630</v>
      </c>
      <c r="B189" t="s">
        <v>584</v>
      </c>
      <c r="C189" t="s">
        <v>585</v>
      </c>
      <c r="D189" t="str">
        <f>_xlfn.CONCAT(Tbl_Emp_Onboarding[[#This Row],[First Name]],".",Tbl_Emp_Onboarding[[#This Row],[Last Name]],"@saregama.com")</f>
        <v>Cecelia.Ludvigsen@saregama.com</v>
      </c>
      <c r="E189" s="5">
        <v>32925</v>
      </c>
      <c r="F189" s="6">
        <f ca="1">RANDBETWEEN(0,6)+((TODAY() - 'Employee Onboarding'!E189)/365.25)</f>
        <v>32.631074606433948</v>
      </c>
      <c r="G189" t="s">
        <v>586</v>
      </c>
      <c r="H189" s="2" t="s">
        <v>50</v>
      </c>
      <c r="I189" s="13" t="s">
        <v>63</v>
      </c>
    </row>
    <row r="190" spans="1:9" x14ac:dyDescent="0.3">
      <c r="A190" s="2">
        <v>103146</v>
      </c>
      <c r="B190" t="s">
        <v>587</v>
      </c>
      <c r="C190" t="s">
        <v>588</v>
      </c>
      <c r="D190" t="str">
        <f>_xlfn.CONCAT(Tbl_Emp_Onboarding[[#This Row],[First Name]],".",Tbl_Emp_Onboarding[[#This Row],[Last Name]],"@saregama.com")</f>
        <v>Yvette.Rearie@saregama.com</v>
      </c>
      <c r="E190" s="5">
        <v>35538</v>
      </c>
      <c r="F190" s="6">
        <f ca="1">RANDBETWEEN(0,6)+((TODAY() - 'Employee Onboarding'!E190)/365.25)</f>
        <v>28.477070499657767</v>
      </c>
      <c r="G190" t="s">
        <v>589</v>
      </c>
      <c r="H190" s="2" t="s">
        <v>21</v>
      </c>
      <c r="I190" s="13" t="s">
        <v>85</v>
      </c>
    </row>
    <row r="191" spans="1:9" x14ac:dyDescent="0.3">
      <c r="A191" s="2">
        <v>107783</v>
      </c>
      <c r="B191" t="s">
        <v>590</v>
      </c>
      <c r="C191" t="s">
        <v>591</v>
      </c>
      <c r="D191" t="str">
        <f>_xlfn.CONCAT(Tbl_Emp_Onboarding[[#This Row],[First Name]],".",Tbl_Emp_Onboarding[[#This Row],[Last Name]],"@saregama.com")</f>
        <v>Jemmy.Chazelas@saregama.com</v>
      </c>
      <c r="E191" s="5">
        <v>42493</v>
      </c>
      <c r="F191" s="6">
        <f ca="1">RANDBETWEEN(0,6)+((TODAY() - 'Employee Onboarding'!E191)/365.25)</f>
        <v>10.435318275154003</v>
      </c>
      <c r="G191" t="s">
        <v>592</v>
      </c>
      <c r="H191" s="2" t="s">
        <v>62</v>
      </c>
      <c r="I191" s="13" t="s">
        <v>51</v>
      </c>
    </row>
    <row r="192" spans="1:9" x14ac:dyDescent="0.3">
      <c r="A192" s="2">
        <v>103497</v>
      </c>
      <c r="B192" t="s">
        <v>593</v>
      </c>
      <c r="C192" t="s">
        <v>594</v>
      </c>
      <c r="D192" t="str">
        <f>_xlfn.CONCAT(Tbl_Emp_Onboarding[[#This Row],[First Name]],".",Tbl_Emp_Onboarding[[#This Row],[Last Name]],"@saregama.com")</f>
        <v>Sargent.Girardet@saregama.com</v>
      </c>
      <c r="E192" s="5">
        <v>37607</v>
      </c>
      <c r="F192" s="6">
        <f ca="1">RANDBETWEEN(0,6)+((TODAY() - 'Employee Onboarding'!E192)/365.25)</f>
        <v>19.812457221081452</v>
      </c>
      <c r="G192" t="s">
        <v>595</v>
      </c>
      <c r="H192" s="2" t="s">
        <v>12</v>
      </c>
      <c r="I192" s="13" t="s">
        <v>13</v>
      </c>
    </row>
    <row r="193" spans="1:9" x14ac:dyDescent="0.3">
      <c r="A193" s="2">
        <v>106071</v>
      </c>
      <c r="B193" t="s">
        <v>596</v>
      </c>
      <c r="C193" t="s">
        <v>597</v>
      </c>
      <c r="D193" t="str">
        <f>_xlfn.CONCAT(Tbl_Emp_Onboarding[[#This Row],[First Name]],".",Tbl_Emp_Onboarding[[#This Row],[Last Name]],"@saregama.com")</f>
        <v>Northrup.Deavin@saregama.com</v>
      </c>
      <c r="E193" s="5">
        <v>41550</v>
      </c>
      <c r="F193" s="6">
        <f ca="1">RANDBETWEEN(0,6)+((TODAY() - 'Employee Onboarding'!E193)/365.25)</f>
        <v>10.017111567419576</v>
      </c>
      <c r="G193" t="s">
        <v>598</v>
      </c>
      <c r="H193" s="2" t="s">
        <v>62</v>
      </c>
      <c r="I193" s="13" t="s">
        <v>51</v>
      </c>
    </row>
    <row r="194" spans="1:9" x14ac:dyDescent="0.3">
      <c r="A194" s="2">
        <v>105392</v>
      </c>
      <c r="B194" t="s">
        <v>599</v>
      </c>
      <c r="C194" t="s">
        <v>600</v>
      </c>
      <c r="D194" t="str">
        <f>_xlfn.CONCAT(Tbl_Emp_Onboarding[[#This Row],[First Name]],".",Tbl_Emp_Onboarding[[#This Row],[Last Name]],"@saregama.com")</f>
        <v>Albie.Bratcher@saregama.com</v>
      </c>
      <c r="E194" s="5">
        <v>37800</v>
      </c>
      <c r="F194" s="6">
        <f ca="1">RANDBETWEEN(0,6)+((TODAY() - 'Employee Onboarding'!E194)/365.25)</f>
        <v>22.284052019164957</v>
      </c>
      <c r="G194" t="s">
        <v>601</v>
      </c>
      <c r="H194" s="2" t="s">
        <v>50</v>
      </c>
      <c r="I194" s="13" t="s">
        <v>63</v>
      </c>
    </row>
    <row r="195" spans="1:9" x14ac:dyDescent="0.3">
      <c r="A195" s="2">
        <v>102788</v>
      </c>
      <c r="B195" t="s">
        <v>602</v>
      </c>
      <c r="C195" t="s">
        <v>603</v>
      </c>
      <c r="D195" t="str">
        <f>_xlfn.CONCAT(Tbl_Emp_Onboarding[[#This Row],[First Name]],".",Tbl_Emp_Onboarding[[#This Row],[Last Name]],"@saregama.com")</f>
        <v>Hobey.Tuftin@saregama.com</v>
      </c>
      <c r="E195" s="5">
        <v>43420</v>
      </c>
      <c r="F195" s="6">
        <f ca="1">RANDBETWEEN(0,6)+((TODAY() - 'Employee Onboarding'!E195)/365.25)</f>
        <v>4.8973305954825461</v>
      </c>
      <c r="G195" t="s">
        <v>604</v>
      </c>
      <c r="H195" s="2" t="s">
        <v>17</v>
      </c>
      <c r="I195" s="13" t="s">
        <v>35</v>
      </c>
    </row>
    <row r="196" spans="1:9" x14ac:dyDescent="0.3">
      <c r="A196" s="2">
        <v>103273</v>
      </c>
      <c r="B196" t="s">
        <v>605</v>
      </c>
      <c r="C196" t="s">
        <v>606</v>
      </c>
      <c r="D196" t="str">
        <f>_xlfn.CONCAT(Tbl_Emp_Onboarding[[#This Row],[First Name]],".",Tbl_Emp_Onboarding[[#This Row],[Last Name]],"@saregama.com")</f>
        <v>Georg.Grivori@saregama.com</v>
      </c>
      <c r="E196" s="5">
        <v>44064</v>
      </c>
      <c r="F196" s="6">
        <f ca="1">RANDBETWEEN(0,6)+((TODAY() - 'Employee Onboarding'!E196)/365.25)</f>
        <v>5.1341546885694731</v>
      </c>
      <c r="G196" t="s">
        <v>607</v>
      </c>
      <c r="H196" s="2" t="s">
        <v>62</v>
      </c>
      <c r="I196" s="13" t="s">
        <v>63</v>
      </c>
    </row>
    <row r="197" spans="1:9" x14ac:dyDescent="0.3">
      <c r="A197" s="2">
        <v>102918</v>
      </c>
      <c r="B197" t="s">
        <v>521</v>
      </c>
      <c r="C197" t="s">
        <v>608</v>
      </c>
      <c r="D197" t="str">
        <f>_xlfn.CONCAT(Tbl_Emp_Onboarding[[#This Row],[First Name]],".",Tbl_Emp_Onboarding[[#This Row],[Last Name]],"@saregama.com")</f>
        <v>Merrill.Adamov@saregama.com</v>
      </c>
      <c r="E197" s="5">
        <v>34560</v>
      </c>
      <c r="F197" s="6">
        <f ca="1">RANDBETWEEN(0,6)+((TODAY() - 'Employee Onboarding'!E197)/365.25)</f>
        <v>28.154688569472963</v>
      </c>
      <c r="G197" t="s">
        <v>609</v>
      </c>
      <c r="H197" s="2" t="s">
        <v>55</v>
      </c>
      <c r="I197" s="13" t="s">
        <v>85</v>
      </c>
    </row>
    <row r="198" spans="1:9" x14ac:dyDescent="0.3">
      <c r="A198" s="2">
        <v>105624</v>
      </c>
      <c r="B198" t="s">
        <v>610</v>
      </c>
      <c r="C198" t="s">
        <v>611</v>
      </c>
      <c r="D198" t="str">
        <f>_xlfn.CONCAT(Tbl_Emp_Onboarding[[#This Row],[First Name]],".",Tbl_Emp_Onboarding[[#This Row],[Last Name]],"@saregama.com")</f>
        <v>Harmon.Perschke@saregama.com</v>
      </c>
      <c r="E198" s="5">
        <v>40283</v>
      </c>
      <c r="F198" s="6">
        <f ca="1">RANDBETWEEN(0,6)+((TODAY() - 'Employee Onboarding'!E198)/365.25)</f>
        <v>15.485968514715948</v>
      </c>
      <c r="G198" t="s">
        <v>612</v>
      </c>
      <c r="H198" s="2" t="s">
        <v>62</v>
      </c>
      <c r="I198" s="13" t="s">
        <v>51</v>
      </c>
    </row>
    <row r="199" spans="1:9" x14ac:dyDescent="0.3">
      <c r="A199" s="2">
        <v>106983</v>
      </c>
      <c r="B199" t="s">
        <v>613</v>
      </c>
      <c r="C199" t="s">
        <v>614</v>
      </c>
      <c r="D199" t="str">
        <f>_xlfn.CONCAT(Tbl_Emp_Onboarding[[#This Row],[First Name]],".",Tbl_Emp_Onboarding[[#This Row],[Last Name]],"@saregama.com")</f>
        <v>Cari.Galvan@saregama.com</v>
      </c>
      <c r="E199" s="5">
        <v>39244</v>
      </c>
      <c r="F199" s="6">
        <f ca="1">RANDBETWEEN(0,6)+((TODAY() - 'Employee Onboarding'!E199)/365.25)</f>
        <v>17.330595482546201</v>
      </c>
      <c r="G199" t="s">
        <v>615</v>
      </c>
      <c r="H199" s="2" t="s">
        <v>12</v>
      </c>
      <c r="I199" s="13" t="s">
        <v>46</v>
      </c>
    </row>
    <row r="200" spans="1:9" x14ac:dyDescent="0.3">
      <c r="A200" s="2">
        <v>104290</v>
      </c>
      <c r="B200" t="s">
        <v>616</v>
      </c>
      <c r="C200" t="s">
        <v>617</v>
      </c>
      <c r="D200" t="str">
        <f>_xlfn.CONCAT(Tbl_Emp_Onboarding[[#This Row],[First Name]],".",Tbl_Emp_Onboarding[[#This Row],[Last Name]],"@saregama.com")</f>
        <v>Olive.Chown@saregama.com</v>
      </c>
      <c r="E200" s="5">
        <v>32259</v>
      </c>
      <c r="F200" s="6">
        <f ca="1">RANDBETWEEN(0,6)+((TODAY() - 'Employee Onboarding'!E200)/365.25)</f>
        <v>33.454483230663932</v>
      </c>
      <c r="G200" t="s">
        <v>618</v>
      </c>
      <c r="H200" s="2" t="s">
        <v>62</v>
      </c>
      <c r="I200" s="13" t="s">
        <v>129</v>
      </c>
    </row>
    <row r="201" spans="1:9" x14ac:dyDescent="0.3">
      <c r="A201" s="2">
        <v>107121</v>
      </c>
      <c r="B201" t="s">
        <v>619</v>
      </c>
      <c r="C201" t="s">
        <v>620</v>
      </c>
      <c r="D201" t="str">
        <f>_xlfn.CONCAT(Tbl_Emp_Onboarding[[#This Row],[First Name]],".",Tbl_Emp_Onboarding[[#This Row],[Last Name]],"@saregama.com")</f>
        <v>Inigo.Bartoszek@saregama.com</v>
      </c>
      <c r="E201" s="5">
        <v>38060</v>
      </c>
      <c r="F201" s="6">
        <f ca="1">RANDBETWEEN(0,6)+((TODAY() - 'Employee Onboarding'!E201)/365.25)</f>
        <v>17.572210814510608</v>
      </c>
      <c r="G201" t="s">
        <v>621</v>
      </c>
      <c r="H201" s="2" t="s">
        <v>21</v>
      </c>
      <c r="I201" s="13" t="s">
        <v>22</v>
      </c>
    </row>
    <row r="202" spans="1:9" x14ac:dyDescent="0.3">
      <c r="A202" s="2">
        <v>107507</v>
      </c>
      <c r="B202" t="s">
        <v>622</v>
      </c>
      <c r="C202" t="s">
        <v>623</v>
      </c>
      <c r="D202" t="str">
        <f>_xlfn.CONCAT(Tbl_Emp_Onboarding[[#This Row],[First Name]],".",Tbl_Emp_Onboarding[[#This Row],[Last Name]],"@saregama.com")</f>
        <v>Beatrisa.Pounds@saregama.com</v>
      </c>
      <c r="E202" s="5">
        <v>39430</v>
      </c>
      <c r="F202" s="6">
        <f ca="1">RANDBETWEEN(0,6)+((TODAY() - 'Employee Onboarding'!E202)/365.25)</f>
        <v>16.821355236139631</v>
      </c>
      <c r="G202" t="s">
        <v>624</v>
      </c>
      <c r="H202" s="2" t="s">
        <v>62</v>
      </c>
      <c r="I202" s="13" t="s">
        <v>51</v>
      </c>
    </row>
    <row r="203" spans="1:9" x14ac:dyDescent="0.3">
      <c r="A203" s="2">
        <v>104505</v>
      </c>
      <c r="B203" t="s">
        <v>625</v>
      </c>
      <c r="C203" t="s">
        <v>626</v>
      </c>
      <c r="D203" t="str">
        <f>_xlfn.CONCAT(Tbl_Emp_Onboarding[[#This Row],[First Name]],".",Tbl_Emp_Onboarding[[#This Row],[Last Name]],"@saregama.com")</f>
        <v>Arlette.Rainville@saregama.com</v>
      </c>
      <c r="E203" s="5">
        <v>35437</v>
      </c>
      <c r="F203" s="6">
        <f ca="1">RANDBETWEEN(0,6)+((TODAY() - 'Employee Onboarding'!E203)/365.25)</f>
        <v>25.753593429158112</v>
      </c>
      <c r="G203" t="s">
        <v>627</v>
      </c>
      <c r="H203" s="2" t="s">
        <v>12</v>
      </c>
      <c r="I203" s="13" t="s">
        <v>46</v>
      </c>
    </row>
    <row r="204" spans="1:9" x14ac:dyDescent="0.3">
      <c r="A204" s="2">
        <v>105076</v>
      </c>
      <c r="B204" t="s">
        <v>628</v>
      </c>
      <c r="C204" t="s">
        <v>629</v>
      </c>
      <c r="D204" t="str">
        <f>_xlfn.CONCAT(Tbl_Emp_Onboarding[[#This Row],[First Name]],".",Tbl_Emp_Onboarding[[#This Row],[Last Name]],"@saregama.com")</f>
        <v>Margi.Eberts@saregama.com</v>
      </c>
      <c r="E204" s="5">
        <v>39843</v>
      </c>
      <c r="F204" s="6">
        <f ca="1">RANDBETWEEN(0,6)+((TODAY() - 'Employee Onboarding'!E204)/365.25)</f>
        <v>14.690622861054072</v>
      </c>
      <c r="G204" t="s">
        <v>630</v>
      </c>
      <c r="H204" s="2" t="s">
        <v>12</v>
      </c>
      <c r="I204" s="13" t="s">
        <v>13</v>
      </c>
    </row>
    <row r="205" spans="1:9" x14ac:dyDescent="0.3">
      <c r="A205" s="2">
        <v>108216</v>
      </c>
      <c r="B205" t="s">
        <v>631</v>
      </c>
      <c r="C205" t="s">
        <v>632</v>
      </c>
      <c r="D205" t="str">
        <f>_xlfn.CONCAT(Tbl_Emp_Onboarding[[#This Row],[First Name]],".",Tbl_Emp_Onboarding[[#This Row],[Last Name]],"@saregama.com")</f>
        <v>Ingelbert.Ventum@saregama.com</v>
      </c>
      <c r="E205" s="5">
        <v>36854</v>
      </c>
      <c r="F205" s="6">
        <f ca="1">RANDBETWEEN(0,6)+((TODAY() - 'Employee Onboarding'!E205)/365.25)</f>
        <v>21.874058863791923</v>
      </c>
      <c r="G205" t="s">
        <v>633</v>
      </c>
      <c r="H205" s="2" t="s">
        <v>50</v>
      </c>
      <c r="I205" s="13" t="s">
        <v>129</v>
      </c>
    </row>
    <row r="206" spans="1:9" x14ac:dyDescent="0.3">
      <c r="A206" s="2">
        <v>106316</v>
      </c>
      <c r="B206" t="s">
        <v>634</v>
      </c>
      <c r="C206" t="s">
        <v>635</v>
      </c>
      <c r="D206" t="str">
        <f>_xlfn.CONCAT(Tbl_Emp_Onboarding[[#This Row],[First Name]],".",Tbl_Emp_Onboarding[[#This Row],[Last Name]],"@saregama.com")</f>
        <v>Jan.Leneve@saregama.com</v>
      </c>
      <c r="E206" s="5">
        <v>41632</v>
      </c>
      <c r="F206" s="6">
        <f ca="1">RANDBETWEEN(0,6)+((TODAY() - 'Employee Onboarding'!E206)/365.25)</f>
        <v>12.792607802874743</v>
      </c>
      <c r="G206" t="s">
        <v>636</v>
      </c>
      <c r="H206" s="2" t="s">
        <v>12</v>
      </c>
      <c r="I206" s="13" t="s">
        <v>13</v>
      </c>
    </row>
    <row r="207" spans="1:9" x14ac:dyDescent="0.3">
      <c r="A207" s="2">
        <v>106408</v>
      </c>
      <c r="B207" t="s">
        <v>637</v>
      </c>
      <c r="C207" t="s">
        <v>638</v>
      </c>
      <c r="D207" t="str">
        <f>_xlfn.CONCAT(Tbl_Emp_Onboarding[[#This Row],[First Name]],".",Tbl_Emp_Onboarding[[#This Row],[Last Name]],"@saregama.com")</f>
        <v>Cleve.Whitwam@saregama.com</v>
      </c>
      <c r="E207" s="5">
        <v>36444</v>
      </c>
      <c r="F207" s="6">
        <f ca="1">RANDBETWEEN(0,6)+((TODAY() - 'Employee Onboarding'!E207)/365.25)</f>
        <v>22.996577686516083</v>
      </c>
      <c r="G207" t="s">
        <v>639</v>
      </c>
      <c r="H207" s="2" t="s">
        <v>50</v>
      </c>
      <c r="I207" s="13" t="s">
        <v>129</v>
      </c>
    </row>
    <row r="208" spans="1:9" x14ac:dyDescent="0.3">
      <c r="A208" s="2">
        <v>103424</v>
      </c>
      <c r="B208" t="s">
        <v>640</v>
      </c>
      <c r="C208" t="s">
        <v>641</v>
      </c>
      <c r="D208" t="str">
        <f>_xlfn.CONCAT(Tbl_Emp_Onboarding[[#This Row],[First Name]],".",Tbl_Emp_Onboarding[[#This Row],[Last Name]],"@saregama.com")</f>
        <v>Vincenz.Oswell@saregama.com</v>
      </c>
      <c r="E208" s="5">
        <v>42729</v>
      </c>
      <c r="F208" s="6">
        <f ca="1">RANDBETWEEN(0,6)+((TODAY() - 'Employee Onboarding'!E208)/365.25)</f>
        <v>3.7891854893908281</v>
      </c>
      <c r="G208" t="s">
        <v>642</v>
      </c>
      <c r="H208" s="2" t="s">
        <v>21</v>
      </c>
      <c r="I208" s="13" t="s">
        <v>22</v>
      </c>
    </row>
    <row r="209" spans="1:9" x14ac:dyDescent="0.3">
      <c r="A209" s="2">
        <v>102135</v>
      </c>
      <c r="B209" t="s">
        <v>643</v>
      </c>
      <c r="C209" t="s">
        <v>644</v>
      </c>
      <c r="D209" t="str">
        <f>_xlfn.CONCAT(Tbl_Emp_Onboarding[[#This Row],[First Name]],".",Tbl_Emp_Onboarding[[#This Row],[Last Name]],"@saregama.com")</f>
        <v>Dorella.Tisun@saregama.com</v>
      </c>
      <c r="E209" s="5">
        <v>40198</v>
      </c>
      <c r="F209" s="6">
        <f ca="1">RANDBETWEEN(0,6)+((TODAY() - 'Employee Onboarding'!E209)/365.25)</f>
        <v>11.718685831622176</v>
      </c>
      <c r="G209" t="s">
        <v>645</v>
      </c>
      <c r="H209" s="2" t="s">
        <v>55</v>
      </c>
      <c r="I209" s="13" t="s">
        <v>22</v>
      </c>
    </row>
    <row r="210" spans="1:9" x14ac:dyDescent="0.3">
      <c r="A210" s="2">
        <v>105733</v>
      </c>
      <c r="B210" t="s">
        <v>646</v>
      </c>
      <c r="C210" t="s">
        <v>647</v>
      </c>
      <c r="D210" t="str">
        <f>_xlfn.CONCAT(Tbl_Emp_Onboarding[[#This Row],[First Name]],".",Tbl_Emp_Onboarding[[#This Row],[Last Name]],"@saregama.com")</f>
        <v>Jonathon.Wickins@saregama.com</v>
      </c>
      <c r="E210" s="5">
        <v>36867</v>
      </c>
      <c r="F210" s="6">
        <f ca="1">RANDBETWEEN(0,6)+((TODAY() - 'Employee Onboarding'!E210)/365.25)</f>
        <v>23.838466803559207</v>
      </c>
      <c r="G210" t="s">
        <v>648</v>
      </c>
      <c r="H210" s="2" t="s">
        <v>21</v>
      </c>
      <c r="I210" s="13" t="s">
        <v>22</v>
      </c>
    </row>
    <row r="211" spans="1:9" x14ac:dyDescent="0.3">
      <c r="A211" s="2">
        <v>104888</v>
      </c>
      <c r="B211" t="s">
        <v>649</v>
      </c>
      <c r="C211" t="s">
        <v>650</v>
      </c>
      <c r="D211" t="str">
        <f>_xlfn.CONCAT(Tbl_Emp_Onboarding[[#This Row],[First Name]],".",Tbl_Emp_Onboarding[[#This Row],[Last Name]],"@saregama.com")</f>
        <v>Mina.Ozelton@saregama.com</v>
      </c>
      <c r="E211" s="5">
        <v>42211</v>
      </c>
      <c r="F211" s="6">
        <f ca="1">RANDBETWEEN(0,6)+((TODAY() - 'Employee Onboarding'!E211)/365.25)</f>
        <v>11.207392197125257</v>
      </c>
      <c r="G211" t="s">
        <v>651</v>
      </c>
      <c r="H211" s="2" t="s">
        <v>50</v>
      </c>
      <c r="I211" s="13" t="s">
        <v>51</v>
      </c>
    </row>
    <row r="212" spans="1:9" x14ac:dyDescent="0.3">
      <c r="A212" s="2">
        <v>104523</v>
      </c>
      <c r="B212" t="s">
        <v>652</v>
      </c>
      <c r="C212" t="s">
        <v>653</v>
      </c>
      <c r="D212" t="str">
        <f>_xlfn.CONCAT(Tbl_Emp_Onboarding[[#This Row],[First Name]],".",Tbl_Emp_Onboarding[[#This Row],[Last Name]],"@saregama.com")</f>
        <v>Marten.Feldhuhn@saregama.com</v>
      </c>
      <c r="E212" s="5">
        <v>43747</v>
      </c>
      <c r="F212" s="6">
        <f ca="1">RANDBETWEEN(0,6)+((TODAY() - 'Employee Onboarding'!E212)/365.25)</f>
        <v>3.0020533880903493</v>
      </c>
      <c r="G212" t="s">
        <v>654</v>
      </c>
      <c r="H212" s="2" t="s">
        <v>12</v>
      </c>
      <c r="I212" s="13" t="s">
        <v>35</v>
      </c>
    </row>
    <row r="213" spans="1:9" x14ac:dyDescent="0.3">
      <c r="A213" s="2">
        <v>102730</v>
      </c>
      <c r="B213" t="s">
        <v>655</v>
      </c>
      <c r="C213" t="s">
        <v>656</v>
      </c>
      <c r="D213" t="str">
        <f>_xlfn.CONCAT(Tbl_Emp_Onboarding[[#This Row],[First Name]],".",Tbl_Emp_Onboarding[[#This Row],[Last Name]],"@saregama.com")</f>
        <v>Babbette.Lutty@saregama.com</v>
      </c>
      <c r="E213" s="5">
        <v>38446</v>
      </c>
      <c r="F213" s="6">
        <f ca="1">RANDBETWEEN(0,6)+((TODAY() - 'Employee Onboarding'!E213)/365.25)</f>
        <v>16.515400410677618</v>
      </c>
      <c r="G213" t="s">
        <v>657</v>
      </c>
      <c r="H213" s="2" t="s">
        <v>17</v>
      </c>
      <c r="I213" s="13" t="s">
        <v>35</v>
      </c>
    </row>
    <row r="214" spans="1:9" x14ac:dyDescent="0.3">
      <c r="A214" s="2">
        <v>106198</v>
      </c>
      <c r="B214" t="s">
        <v>658</v>
      </c>
      <c r="C214" t="s">
        <v>659</v>
      </c>
      <c r="D214" t="str">
        <f>_xlfn.CONCAT(Tbl_Emp_Onboarding[[#This Row],[First Name]],".",Tbl_Emp_Onboarding[[#This Row],[Last Name]],"@saregama.com")</f>
        <v>Camilla.Huccaby@saregama.com</v>
      </c>
      <c r="E214" s="5">
        <v>33247</v>
      </c>
      <c r="F214" s="6">
        <f ca="1">RANDBETWEEN(0,6)+((TODAY() - 'Employee Onboarding'!E214)/365.25)</f>
        <v>33.74948665297741</v>
      </c>
      <c r="G214" t="s">
        <v>660</v>
      </c>
      <c r="H214" s="2" t="s">
        <v>62</v>
      </c>
      <c r="I214" s="13" t="s">
        <v>63</v>
      </c>
    </row>
    <row r="215" spans="1:9" x14ac:dyDescent="0.3">
      <c r="A215" s="2">
        <v>107211</v>
      </c>
      <c r="B215" t="s">
        <v>661</v>
      </c>
      <c r="C215" t="s">
        <v>662</v>
      </c>
      <c r="D215" t="str">
        <f>_xlfn.CONCAT(Tbl_Emp_Onboarding[[#This Row],[First Name]],".",Tbl_Emp_Onboarding[[#This Row],[Last Name]],"@saregama.com")</f>
        <v>Fredek.Greveson@saregama.com</v>
      </c>
      <c r="E215" s="5">
        <v>37368</v>
      </c>
      <c r="F215" s="6">
        <f ca="1">RANDBETWEEN(0,6)+((TODAY() - 'Employee Onboarding'!E215)/365.25)</f>
        <v>20.466803559206024</v>
      </c>
      <c r="G215" t="s">
        <v>663</v>
      </c>
      <c r="H215" s="2" t="s">
        <v>21</v>
      </c>
      <c r="I215" s="13" t="s">
        <v>85</v>
      </c>
    </row>
    <row r="216" spans="1:9" x14ac:dyDescent="0.3">
      <c r="A216" s="2">
        <v>102922</v>
      </c>
      <c r="B216" t="s">
        <v>664</v>
      </c>
      <c r="C216" t="s">
        <v>665</v>
      </c>
      <c r="D216" t="str">
        <f>_xlfn.CONCAT(Tbl_Emp_Onboarding[[#This Row],[First Name]],".",Tbl_Emp_Onboarding[[#This Row],[Last Name]],"@saregama.com")</f>
        <v>Anna-diana.Bruggen@saregama.com</v>
      </c>
      <c r="E216" s="5">
        <v>29492</v>
      </c>
      <c r="F216" s="6">
        <f ca="1">RANDBETWEEN(0,6)+((TODAY() - 'Employee Onboarding'!E216)/365.25)</f>
        <v>46.030116358658454</v>
      </c>
      <c r="G216" t="s">
        <v>666</v>
      </c>
      <c r="H216" s="2" t="s">
        <v>12</v>
      </c>
      <c r="I216" s="13" t="s">
        <v>42</v>
      </c>
    </row>
    <row r="217" spans="1:9" x14ac:dyDescent="0.3">
      <c r="A217" s="2">
        <v>104698</v>
      </c>
      <c r="B217" t="s">
        <v>667</v>
      </c>
      <c r="C217" t="s">
        <v>668</v>
      </c>
      <c r="D217" t="str">
        <f>_xlfn.CONCAT(Tbl_Emp_Onboarding[[#This Row],[First Name]],".",Tbl_Emp_Onboarding[[#This Row],[Last Name]],"@saregama.com")</f>
        <v>Blinni.Darkott@saregama.com</v>
      </c>
      <c r="E217" s="5">
        <v>31052</v>
      </c>
      <c r="F217" s="6">
        <f ca="1">RANDBETWEEN(0,6)+((TODAY() - 'Employee Onboarding'!E217)/365.25)</f>
        <v>40.759069130732378</v>
      </c>
      <c r="G217" t="s">
        <v>669</v>
      </c>
      <c r="H217" s="2" t="s">
        <v>55</v>
      </c>
      <c r="I217" s="13" t="s">
        <v>85</v>
      </c>
    </row>
    <row r="218" spans="1:9" x14ac:dyDescent="0.3">
      <c r="A218" s="2">
        <v>105936</v>
      </c>
      <c r="B218" t="s">
        <v>670</v>
      </c>
      <c r="C218" t="s">
        <v>671</v>
      </c>
      <c r="D218" t="str">
        <f>_xlfn.CONCAT(Tbl_Emp_Onboarding[[#This Row],[First Name]],".",Tbl_Emp_Onboarding[[#This Row],[Last Name]],"@saregama.com")</f>
        <v>Giselle.Smithyman@saregama.com</v>
      </c>
      <c r="E218" s="5">
        <v>36502</v>
      </c>
      <c r="F218" s="6">
        <f ca="1">RANDBETWEEN(0,6)+((TODAY() - 'Employee Onboarding'!E218)/365.25)</f>
        <v>20.837782340862422</v>
      </c>
      <c r="G218" t="s">
        <v>672</v>
      </c>
      <c r="H218" s="2" t="s">
        <v>21</v>
      </c>
      <c r="I218" s="13" t="s">
        <v>85</v>
      </c>
    </row>
    <row r="219" spans="1:9" x14ac:dyDescent="0.3">
      <c r="A219" s="2">
        <v>105279</v>
      </c>
      <c r="B219" t="s">
        <v>673</v>
      </c>
      <c r="C219" t="s">
        <v>674</v>
      </c>
      <c r="D219" t="str">
        <f>_xlfn.CONCAT(Tbl_Emp_Onboarding[[#This Row],[First Name]],".",Tbl_Emp_Onboarding[[#This Row],[Last Name]],"@saregama.com")</f>
        <v>Waverly.Hillett@saregama.com</v>
      </c>
      <c r="E219" s="5">
        <v>38021</v>
      </c>
      <c r="F219" s="6">
        <f ca="1">RANDBETWEEN(0,6)+((TODAY() - 'Employee Onboarding'!E219)/365.25)</f>
        <v>18.67898699520876</v>
      </c>
      <c r="G219" t="s">
        <v>675</v>
      </c>
      <c r="H219" s="2" t="s">
        <v>21</v>
      </c>
      <c r="I219" s="13" t="s">
        <v>22</v>
      </c>
    </row>
    <row r="220" spans="1:9" x14ac:dyDescent="0.3">
      <c r="A220" s="2">
        <v>105093</v>
      </c>
      <c r="B220" t="s">
        <v>676</v>
      </c>
      <c r="C220" t="s">
        <v>677</v>
      </c>
      <c r="D220" t="str">
        <f>_xlfn.CONCAT(Tbl_Emp_Onboarding[[#This Row],[First Name]],".",Tbl_Emp_Onboarding[[#This Row],[Last Name]],"@saregama.com")</f>
        <v>Suzanne.Dymond@saregama.com</v>
      </c>
      <c r="E220" s="5">
        <v>42876</v>
      </c>
      <c r="F220" s="6">
        <f ca="1">RANDBETWEEN(0,6)+((TODAY() - 'Employee Onboarding'!E220)/365.25)</f>
        <v>6.3867214236824097</v>
      </c>
      <c r="G220" t="s">
        <v>678</v>
      </c>
      <c r="H220" s="2" t="s">
        <v>50</v>
      </c>
      <c r="I220" s="13" t="s">
        <v>51</v>
      </c>
    </row>
    <row r="221" spans="1:9" x14ac:dyDescent="0.3">
      <c r="A221" s="2">
        <v>107190</v>
      </c>
      <c r="B221" t="s">
        <v>679</v>
      </c>
      <c r="C221" t="s">
        <v>680</v>
      </c>
      <c r="D221" t="str">
        <f>_xlfn.CONCAT(Tbl_Emp_Onboarding[[#This Row],[First Name]],".",Tbl_Emp_Onboarding[[#This Row],[Last Name]],"@saregama.com")</f>
        <v>Koo.Ibbeson@saregama.com</v>
      </c>
      <c r="E221" s="5">
        <v>43525</v>
      </c>
      <c r="F221" s="6">
        <f ca="1">RANDBETWEEN(0,6)+((TODAY() - 'Employee Onboarding'!E221)/365.25)</f>
        <v>3.6098562628336754</v>
      </c>
      <c r="G221" t="s">
        <v>681</v>
      </c>
      <c r="H221" s="2" t="s">
        <v>17</v>
      </c>
      <c r="I221" s="13" t="s">
        <v>13</v>
      </c>
    </row>
    <row r="222" spans="1:9" x14ac:dyDescent="0.3">
      <c r="A222" s="2">
        <v>106665</v>
      </c>
      <c r="B222" t="s">
        <v>682</v>
      </c>
      <c r="C222" t="s">
        <v>683</v>
      </c>
      <c r="D222" t="str">
        <f>_xlfn.CONCAT(Tbl_Emp_Onboarding[[#This Row],[First Name]],".",Tbl_Emp_Onboarding[[#This Row],[Last Name]],"@saregama.com")</f>
        <v>Gwenny.Cordrey@saregama.com</v>
      </c>
      <c r="E222" s="5">
        <v>38907</v>
      </c>
      <c r="F222" s="6">
        <f ca="1">RANDBETWEEN(0,6)+((TODAY() - 'Employee Onboarding'!E222)/365.25)</f>
        <v>17.253251197809718</v>
      </c>
      <c r="G222" t="s">
        <v>684</v>
      </c>
      <c r="H222" s="2" t="s">
        <v>12</v>
      </c>
      <c r="I222" s="13" t="s">
        <v>13</v>
      </c>
    </row>
    <row r="223" spans="1:9" x14ac:dyDescent="0.3">
      <c r="A223" s="2">
        <v>102080</v>
      </c>
      <c r="B223" t="s">
        <v>685</v>
      </c>
      <c r="C223" t="s">
        <v>686</v>
      </c>
      <c r="D223" t="str">
        <f>_xlfn.CONCAT(Tbl_Emp_Onboarding[[#This Row],[First Name]],".",Tbl_Emp_Onboarding[[#This Row],[Last Name]],"@saregama.com")</f>
        <v>Davin.Salliere@saregama.com</v>
      </c>
      <c r="E223" s="5">
        <v>40374</v>
      </c>
      <c r="F223" s="6">
        <f ca="1">RANDBETWEEN(0,6)+((TODAY() - 'Employee Onboarding'!E223)/365.25)</f>
        <v>16.236824093086927</v>
      </c>
      <c r="G223" t="s">
        <v>687</v>
      </c>
      <c r="H223" s="2" t="s">
        <v>50</v>
      </c>
      <c r="I223" s="13" t="s">
        <v>51</v>
      </c>
    </row>
    <row r="224" spans="1:9" x14ac:dyDescent="0.3">
      <c r="A224" s="2">
        <v>105769</v>
      </c>
      <c r="B224" t="s">
        <v>688</v>
      </c>
      <c r="C224" t="s">
        <v>689</v>
      </c>
      <c r="D224" t="str">
        <f>_xlfn.CONCAT(Tbl_Emp_Onboarding[[#This Row],[First Name]],".",Tbl_Emp_Onboarding[[#This Row],[Last Name]],"@saregama.com")</f>
        <v>Augie.Bogges@saregama.com</v>
      </c>
      <c r="E224" s="5">
        <v>39431</v>
      </c>
      <c r="F224" s="6">
        <f ca="1">RANDBETWEEN(0,6)+((TODAY() - 'Employee Onboarding'!E224)/365.25)</f>
        <v>18.818617385352496</v>
      </c>
      <c r="G224" t="s">
        <v>690</v>
      </c>
      <c r="H224" s="2" t="s">
        <v>50</v>
      </c>
      <c r="I224" s="13" t="s">
        <v>63</v>
      </c>
    </row>
    <row r="225" spans="1:9" x14ac:dyDescent="0.3">
      <c r="A225" s="2">
        <v>104136</v>
      </c>
      <c r="B225" t="s">
        <v>691</v>
      </c>
      <c r="C225" t="s">
        <v>692</v>
      </c>
      <c r="D225" t="str">
        <f>_xlfn.CONCAT(Tbl_Emp_Onboarding[[#This Row],[First Name]],".",Tbl_Emp_Onboarding[[#This Row],[Last Name]],"@saregama.com")</f>
        <v>Zea.Denham@saregama.com</v>
      </c>
      <c r="E225" s="5">
        <v>43740</v>
      </c>
      <c r="F225" s="6">
        <f ca="1">RANDBETWEEN(0,6)+((TODAY() - 'Employee Onboarding'!E225)/365.25)</f>
        <v>3.0212183436002737</v>
      </c>
      <c r="G225" t="s">
        <v>693</v>
      </c>
      <c r="H225" s="2" t="s">
        <v>12</v>
      </c>
      <c r="I225" s="13" t="s">
        <v>35</v>
      </c>
    </row>
    <row r="226" spans="1:9" x14ac:dyDescent="0.3">
      <c r="A226" s="2">
        <v>102196</v>
      </c>
      <c r="B226" t="s">
        <v>694</v>
      </c>
      <c r="C226" t="s">
        <v>695</v>
      </c>
      <c r="D226" t="str">
        <f>_xlfn.CONCAT(Tbl_Emp_Onboarding[[#This Row],[First Name]],".",Tbl_Emp_Onboarding[[#This Row],[Last Name]],"@saregama.com")</f>
        <v>Andros.Liverseege@saregama.com</v>
      </c>
      <c r="E226" s="5">
        <v>39803</v>
      </c>
      <c r="F226" s="6">
        <f ca="1">RANDBETWEEN(0,6)+((TODAY() - 'Employee Onboarding'!E226)/365.25)</f>
        <v>12.800136892539356</v>
      </c>
      <c r="G226" t="s">
        <v>696</v>
      </c>
      <c r="H226" s="2" t="s">
        <v>21</v>
      </c>
      <c r="I226" s="13" t="s">
        <v>22</v>
      </c>
    </row>
    <row r="227" spans="1:9" x14ac:dyDescent="0.3">
      <c r="A227" s="2">
        <v>104356</v>
      </c>
      <c r="B227" t="s">
        <v>697</v>
      </c>
      <c r="C227" t="s">
        <v>698</v>
      </c>
      <c r="D227" t="str">
        <f>_xlfn.CONCAT(Tbl_Emp_Onboarding[[#This Row],[First Name]],".",Tbl_Emp_Onboarding[[#This Row],[Last Name]],"@saregama.com")</f>
        <v>Gardiner.McElrea@saregama.com</v>
      </c>
      <c r="E227" s="5">
        <v>36751</v>
      </c>
      <c r="F227" s="6">
        <f ca="1">RANDBETWEEN(0,6)+((TODAY() - 'Employee Onboarding'!E227)/365.25)</f>
        <v>21.156057494866531</v>
      </c>
      <c r="G227" t="s">
        <v>699</v>
      </c>
      <c r="H227" s="2" t="s">
        <v>55</v>
      </c>
      <c r="I227" s="13" t="s">
        <v>22</v>
      </c>
    </row>
    <row r="228" spans="1:9" x14ac:dyDescent="0.3">
      <c r="A228" s="2">
        <v>102583</v>
      </c>
      <c r="B228" t="s">
        <v>700</v>
      </c>
      <c r="C228" t="s">
        <v>701</v>
      </c>
      <c r="D228" t="str">
        <f>_xlfn.CONCAT(Tbl_Emp_Onboarding[[#This Row],[First Name]],".",Tbl_Emp_Onboarding[[#This Row],[Last Name]],"@saregama.com")</f>
        <v>Leora.Sweynson@saregama.com</v>
      </c>
      <c r="E228" s="5">
        <v>32777</v>
      </c>
      <c r="F228" s="6">
        <f ca="1">RANDBETWEEN(0,6)+((TODAY() - 'Employee Onboarding'!E228)/365.25)</f>
        <v>34.036276522929498</v>
      </c>
      <c r="G228" t="s">
        <v>702</v>
      </c>
      <c r="H228" s="2" t="s">
        <v>17</v>
      </c>
      <c r="I228" s="13" t="s">
        <v>42</v>
      </c>
    </row>
    <row r="229" spans="1:9" x14ac:dyDescent="0.3">
      <c r="A229" s="2">
        <v>102281</v>
      </c>
      <c r="B229" t="s">
        <v>703</v>
      </c>
      <c r="C229" t="s">
        <v>704</v>
      </c>
      <c r="D229" t="str">
        <f>_xlfn.CONCAT(Tbl_Emp_Onboarding[[#This Row],[First Name]],".",Tbl_Emp_Onboarding[[#This Row],[Last Name]],"@saregama.com")</f>
        <v>Nannie.Meenan@saregama.com</v>
      </c>
      <c r="E229" s="5">
        <v>43430</v>
      </c>
      <c r="F229" s="6">
        <f ca="1">RANDBETWEEN(0,6)+((TODAY() - 'Employee Onboarding'!E229)/365.25)</f>
        <v>1.8699520876112252</v>
      </c>
      <c r="G229" t="s">
        <v>705</v>
      </c>
      <c r="H229" s="2" t="s">
        <v>17</v>
      </c>
      <c r="I229" s="13" t="s">
        <v>13</v>
      </c>
    </row>
    <row r="230" spans="1:9" x14ac:dyDescent="0.3">
      <c r="A230" s="2">
        <v>104701</v>
      </c>
      <c r="B230" t="s">
        <v>706</v>
      </c>
      <c r="C230" t="s">
        <v>707</v>
      </c>
      <c r="D230" t="str">
        <f>_xlfn.CONCAT(Tbl_Emp_Onboarding[[#This Row],[First Name]],".",Tbl_Emp_Onboarding[[#This Row],[Last Name]],"@saregama.com")</f>
        <v>Callie.Kopps@saregama.com</v>
      </c>
      <c r="E230" s="5">
        <v>30453</v>
      </c>
      <c r="F230" s="6">
        <f ca="1">RANDBETWEEN(0,6)+((TODAY() - 'Employee Onboarding'!E230)/365.25)</f>
        <v>38.399041752224505</v>
      </c>
      <c r="G230" t="s">
        <v>708</v>
      </c>
      <c r="H230" s="2" t="s">
        <v>62</v>
      </c>
      <c r="I230" s="13" t="s">
        <v>63</v>
      </c>
    </row>
    <row r="231" spans="1:9" x14ac:dyDescent="0.3">
      <c r="A231" s="2">
        <v>105968</v>
      </c>
      <c r="B231" t="s">
        <v>709</v>
      </c>
      <c r="C231" t="s">
        <v>710</v>
      </c>
      <c r="D231" t="str">
        <f>_xlfn.CONCAT(Tbl_Emp_Onboarding[[#This Row],[First Name]],".",Tbl_Emp_Onboarding[[#This Row],[Last Name]],"@saregama.com")</f>
        <v>Kerianne.Gibbings@saregama.com</v>
      </c>
      <c r="E231" s="5">
        <v>35945</v>
      </c>
      <c r="F231" s="6">
        <f ca="1">RANDBETWEEN(0,6)+((TODAY() - 'Employee Onboarding'!E231)/365.25)</f>
        <v>28.362765229295004</v>
      </c>
      <c r="G231" t="s">
        <v>711</v>
      </c>
      <c r="H231" s="2" t="s">
        <v>21</v>
      </c>
      <c r="I231" s="13" t="s">
        <v>85</v>
      </c>
    </row>
    <row r="232" spans="1:9" x14ac:dyDescent="0.3">
      <c r="A232" s="2">
        <v>106662</v>
      </c>
      <c r="B232" t="s">
        <v>712</v>
      </c>
      <c r="C232" t="s">
        <v>713</v>
      </c>
      <c r="D232" t="str">
        <f>_xlfn.CONCAT(Tbl_Emp_Onboarding[[#This Row],[First Name]],".",Tbl_Emp_Onboarding[[#This Row],[Last Name]],"@saregama.com")</f>
        <v>Clayson.O'Shee@saregama.com</v>
      </c>
      <c r="E232" s="5">
        <v>38602</v>
      </c>
      <c r="F232" s="6">
        <f ca="1">RANDBETWEEN(0,6)+((TODAY() - 'Employee Onboarding'!E232)/365.25)</f>
        <v>20.088295687885008</v>
      </c>
      <c r="G232" t="s">
        <v>714</v>
      </c>
      <c r="H232" s="2" t="s">
        <v>55</v>
      </c>
      <c r="I232" s="13" t="s">
        <v>22</v>
      </c>
    </row>
    <row r="233" spans="1:9" x14ac:dyDescent="0.3">
      <c r="A233" s="2">
        <v>105219</v>
      </c>
      <c r="B233" t="s">
        <v>715</v>
      </c>
      <c r="C233" t="s">
        <v>716</v>
      </c>
      <c r="D233" t="str">
        <f>_xlfn.CONCAT(Tbl_Emp_Onboarding[[#This Row],[First Name]],".",Tbl_Emp_Onboarding[[#This Row],[Last Name]],"@saregama.com")</f>
        <v>Karim.Prydie@saregama.com</v>
      </c>
      <c r="E233" s="5">
        <v>32399</v>
      </c>
      <c r="F233" s="6">
        <f ca="1">RANDBETWEEN(0,6)+((TODAY() - 'Employee Onboarding'!E233)/365.25)</f>
        <v>34.071184120465432</v>
      </c>
      <c r="G233" t="s">
        <v>717</v>
      </c>
      <c r="H233" s="2" t="s">
        <v>17</v>
      </c>
      <c r="I233" s="13" t="s">
        <v>46</v>
      </c>
    </row>
    <row r="234" spans="1:9" x14ac:dyDescent="0.3">
      <c r="A234" s="2">
        <v>107855</v>
      </c>
      <c r="B234" t="s">
        <v>718</v>
      </c>
      <c r="C234" t="s">
        <v>719</v>
      </c>
      <c r="D234" t="str">
        <f>_xlfn.CONCAT(Tbl_Emp_Onboarding[[#This Row],[First Name]],".",Tbl_Emp_Onboarding[[#This Row],[Last Name]],"@saregama.com")</f>
        <v>Denis.Parratt@saregama.com</v>
      </c>
      <c r="E234" s="5">
        <v>39154</v>
      </c>
      <c r="F234" s="6">
        <f ca="1">RANDBETWEEN(0,6)+((TODAY() - 'Employee Onboarding'!E234)/365.25)</f>
        <v>14.577002053388091</v>
      </c>
      <c r="G234" t="s">
        <v>720</v>
      </c>
      <c r="H234" s="2" t="s">
        <v>50</v>
      </c>
      <c r="I234" s="13" t="s">
        <v>63</v>
      </c>
    </row>
    <row r="235" spans="1:9" x14ac:dyDescent="0.3">
      <c r="A235" s="2">
        <v>102598</v>
      </c>
      <c r="B235" t="s">
        <v>721</v>
      </c>
      <c r="C235" t="s">
        <v>722</v>
      </c>
      <c r="D235" t="str">
        <f>_xlfn.CONCAT(Tbl_Emp_Onboarding[[#This Row],[First Name]],".",Tbl_Emp_Onboarding[[#This Row],[Last Name]],"@saregama.com")</f>
        <v>Briggs.Bagnal@saregama.com</v>
      </c>
      <c r="E235" s="5">
        <v>43332</v>
      </c>
      <c r="F235" s="6">
        <f ca="1">RANDBETWEEN(0,6)+((TODAY() - 'Employee Onboarding'!E235)/365.25)</f>
        <v>4.1382614647501708</v>
      </c>
      <c r="G235" t="s">
        <v>723</v>
      </c>
      <c r="H235" s="2" t="s">
        <v>21</v>
      </c>
      <c r="I235" s="13" t="s">
        <v>22</v>
      </c>
    </row>
    <row r="236" spans="1:9" x14ac:dyDescent="0.3">
      <c r="A236" s="2">
        <v>103568</v>
      </c>
      <c r="B236" t="s">
        <v>724</v>
      </c>
      <c r="C236" t="s">
        <v>725</v>
      </c>
      <c r="D236" t="str">
        <f>_xlfn.CONCAT(Tbl_Emp_Onboarding[[#This Row],[First Name]],".",Tbl_Emp_Onboarding[[#This Row],[Last Name]],"@saregama.com")</f>
        <v>Stanislaus.Rickis@saregama.com</v>
      </c>
      <c r="E236" s="5">
        <v>37269</v>
      </c>
      <c r="F236" s="6">
        <f ca="1">RANDBETWEEN(0,6)+((TODAY() - 'Employee Onboarding'!E236)/365.25)</f>
        <v>21.7378507871321</v>
      </c>
      <c r="G236" t="s">
        <v>726</v>
      </c>
      <c r="H236" s="2" t="s">
        <v>21</v>
      </c>
      <c r="I236" s="13" t="s">
        <v>85</v>
      </c>
    </row>
    <row r="237" spans="1:9" x14ac:dyDescent="0.3">
      <c r="A237" s="2">
        <v>103100</v>
      </c>
      <c r="B237" t="s">
        <v>727</v>
      </c>
      <c r="C237" t="s">
        <v>728</v>
      </c>
      <c r="D237" t="str">
        <f>_xlfn.CONCAT(Tbl_Emp_Onboarding[[#This Row],[First Name]],".",Tbl_Emp_Onboarding[[#This Row],[Last Name]],"@saregama.com")</f>
        <v>Andie.Finnimore@saregama.com</v>
      </c>
      <c r="E237" s="5">
        <v>31080</v>
      </c>
      <c r="F237" s="6">
        <f ca="1">RANDBETWEEN(0,6)+((TODAY() - 'Employee Onboarding'!E237)/365.25)</f>
        <v>35.682409308692677</v>
      </c>
      <c r="G237" t="s">
        <v>729</v>
      </c>
      <c r="H237" s="2" t="s">
        <v>50</v>
      </c>
      <c r="I237" s="13" t="s">
        <v>63</v>
      </c>
    </row>
    <row r="238" spans="1:9" x14ac:dyDescent="0.3">
      <c r="A238" s="2">
        <v>107551</v>
      </c>
      <c r="B238" t="s">
        <v>730</v>
      </c>
      <c r="C238" t="s">
        <v>731</v>
      </c>
      <c r="D238" t="str">
        <f>_xlfn.CONCAT(Tbl_Emp_Onboarding[[#This Row],[First Name]],".",Tbl_Emp_Onboarding[[#This Row],[Last Name]],"@saregama.com")</f>
        <v>Colline.Cleeton@saregama.com</v>
      </c>
      <c r="E238" s="5">
        <v>39817</v>
      </c>
      <c r="F238" s="6">
        <f ca="1">RANDBETWEEN(0,6)+((TODAY() - 'Employee Onboarding'!E238)/365.25)</f>
        <v>12.761806981519507</v>
      </c>
      <c r="G238" t="s">
        <v>732</v>
      </c>
      <c r="H238" s="2" t="s">
        <v>17</v>
      </c>
      <c r="I238" s="13" t="s">
        <v>35</v>
      </c>
    </row>
    <row r="239" spans="1:9" x14ac:dyDescent="0.3">
      <c r="A239" s="2">
        <v>103871</v>
      </c>
      <c r="B239" t="s">
        <v>733</v>
      </c>
      <c r="C239" t="s">
        <v>734</v>
      </c>
      <c r="D239" t="str">
        <f>_xlfn.CONCAT(Tbl_Emp_Onboarding[[#This Row],[First Name]],".",Tbl_Emp_Onboarding[[#This Row],[Last Name]],"@saregama.com")</f>
        <v>Stirling.Trighton@saregama.com</v>
      </c>
      <c r="E239" s="5">
        <v>41063</v>
      </c>
      <c r="F239" s="6">
        <f ca="1">RANDBETWEEN(0,6)+((TODAY() - 'Employee Onboarding'!E239)/365.25)</f>
        <v>13.350444900752908</v>
      </c>
      <c r="G239" t="s">
        <v>735</v>
      </c>
      <c r="H239" s="2" t="s">
        <v>62</v>
      </c>
      <c r="I239" s="13" t="s">
        <v>51</v>
      </c>
    </row>
    <row r="240" spans="1:9" x14ac:dyDescent="0.3">
      <c r="A240" s="2">
        <v>106672</v>
      </c>
      <c r="B240" t="s">
        <v>736</v>
      </c>
      <c r="C240" t="s">
        <v>737</v>
      </c>
      <c r="D240" t="str">
        <f>_xlfn.CONCAT(Tbl_Emp_Onboarding[[#This Row],[First Name]],".",Tbl_Emp_Onboarding[[#This Row],[Last Name]],"@saregama.com")</f>
        <v>Bobbe.Boshard@saregama.com</v>
      </c>
      <c r="E240" s="5">
        <v>33805</v>
      </c>
      <c r="F240" s="6">
        <f ca="1">RANDBETWEEN(0,6)+((TODAY() - 'Employee Onboarding'!E240)/365.25)</f>
        <v>32.2217659137577</v>
      </c>
      <c r="G240" t="s">
        <v>738</v>
      </c>
      <c r="H240" s="2" t="s">
        <v>55</v>
      </c>
      <c r="I240" s="13" t="s">
        <v>85</v>
      </c>
    </row>
    <row r="241" spans="1:9" x14ac:dyDescent="0.3">
      <c r="A241" s="2">
        <v>102074</v>
      </c>
      <c r="B241" t="s">
        <v>739</v>
      </c>
      <c r="C241" t="s">
        <v>740</v>
      </c>
      <c r="D241" t="str">
        <f>_xlfn.CONCAT(Tbl_Emp_Onboarding[[#This Row],[First Name]],".",Tbl_Emp_Onboarding[[#This Row],[Last Name]],"@saregama.com")</f>
        <v>Randie.McGreary@saregama.com</v>
      </c>
      <c r="E241" s="5">
        <v>40007</v>
      </c>
      <c r="F241" s="6">
        <f ca="1">RANDBETWEEN(0,6)+((TODAY() - 'Employee Onboarding'!E241)/365.25)</f>
        <v>17.241615331964407</v>
      </c>
      <c r="G241" t="s">
        <v>741</v>
      </c>
      <c r="H241" s="2" t="s">
        <v>50</v>
      </c>
      <c r="I241" s="13" t="s">
        <v>63</v>
      </c>
    </row>
    <row r="242" spans="1:9" x14ac:dyDescent="0.3">
      <c r="A242" s="2">
        <v>105574</v>
      </c>
      <c r="B242" t="s">
        <v>742</v>
      </c>
      <c r="C242" t="s">
        <v>743</v>
      </c>
      <c r="D242" t="str">
        <f>_xlfn.CONCAT(Tbl_Emp_Onboarding[[#This Row],[First Name]],".",Tbl_Emp_Onboarding[[#This Row],[Last Name]],"@saregama.com")</f>
        <v>Drud.Siggin@saregama.com</v>
      </c>
      <c r="E242" s="5">
        <v>33877</v>
      </c>
      <c r="F242" s="6">
        <f ca="1">RANDBETWEEN(0,6)+((TODAY() - 'Employee Onboarding'!E242)/365.25)</f>
        <v>32.024640657084191</v>
      </c>
      <c r="G242" t="s">
        <v>744</v>
      </c>
      <c r="H242" s="2" t="s">
        <v>62</v>
      </c>
      <c r="I242" s="13" t="s">
        <v>63</v>
      </c>
    </row>
    <row r="243" spans="1:9" x14ac:dyDescent="0.3">
      <c r="A243" s="2">
        <v>106500</v>
      </c>
      <c r="B243" t="s">
        <v>745</v>
      </c>
      <c r="C243" t="s">
        <v>746</v>
      </c>
      <c r="D243" t="str">
        <f>_xlfn.CONCAT(Tbl_Emp_Onboarding[[#This Row],[First Name]],".",Tbl_Emp_Onboarding[[#This Row],[Last Name]],"@saregama.com")</f>
        <v>Giffard.Walkey@saregama.com</v>
      </c>
      <c r="E243" s="5">
        <v>36795</v>
      </c>
      <c r="F243" s="6">
        <f ca="1">RANDBETWEEN(0,6)+((TODAY() - 'Employee Onboarding'!E243)/365.25)</f>
        <v>23.035592060232716</v>
      </c>
      <c r="G243" t="s">
        <v>747</v>
      </c>
      <c r="H243" s="2" t="s">
        <v>12</v>
      </c>
      <c r="I243" s="13" t="s">
        <v>13</v>
      </c>
    </row>
    <row r="244" spans="1:9" x14ac:dyDescent="0.3">
      <c r="A244" s="2">
        <v>107555</v>
      </c>
      <c r="B244" t="s">
        <v>748</v>
      </c>
      <c r="C244" t="s">
        <v>749</v>
      </c>
      <c r="D244" t="str">
        <f>_xlfn.CONCAT(Tbl_Emp_Onboarding[[#This Row],[First Name]],".",Tbl_Emp_Onboarding[[#This Row],[Last Name]],"@saregama.com")</f>
        <v>Tasia.Stitch@saregama.com</v>
      </c>
      <c r="E244" s="5">
        <v>37246</v>
      </c>
      <c r="F244" s="6">
        <f ca="1">RANDBETWEEN(0,6)+((TODAY() - 'Employee Onboarding'!E244)/365.25)</f>
        <v>23.800821355236138</v>
      </c>
      <c r="G244" t="s">
        <v>750</v>
      </c>
      <c r="H244" s="2" t="s">
        <v>55</v>
      </c>
      <c r="I244" s="13" t="s">
        <v>85</v>
      </c>
    </row>
    <row r="245" spans="1:9" x14ac:dyDescent="0.3">
      <c r="A245" s="2">
        <v>107054</v>
      </c>
      <c r="B245" t="s">
        <v>751</v>
      </c>
      <c r="C245" t="s">
        <v>752</v>
      </c>
      <c r="D245" t="str">
        <f>_xlfn.CONCAT(Tbl_Emp_Onboarding[[#This Row],[First Name]],".",Tbl_Emp_Onboarding[[#This Row],[Last Name]],"@saregama.com")</f>
        <v>Brandea.Matveichev@saregama.com</v>
      </c>
      <c r="E245" s="5">
        <v>42151</v>
      </c>
      <c r="F245" s="6">
        <f ca="1">RANDBETWEEN(0,6)+((TODAY() - 'Employee Onboarding'!E245)/365.25)</f>
        <v>7.3716632443531829</v>
      </c>
      <c r="G245" t="s">
        <v>753</v>
      </c>
      <c r="H245" s="2" t="s">
        <v>12</v>
      </c>
      <c r="I245" s="13" t="s">
        <v>35</v>
      </c>
    </row>
    <row r="246" spans="1:9" x14ac:dyDescent="0.3">
      <c r="A246" s="2">
        <v>104006</v>
      </c>
      <c r="B246" t="s">
        <v>754</v>
      </c>
      <c r="C246" t="s">
        <v>755</v>
      </c>
      <c r="D246" t="str">
        <f>_xlfn.CONCAT(Tbl_Emp_Onboarding[[#This Row],[First Name]],".",Tbl_Emp_Onboarding[[#This Row],[Last Name]],"@saregama.com")</f>
        <v>Maurita.Klassman@saregama.com</v>
      </c>
      <c r="E246" s="5">
        <v>42117</v>
      </c>
      <c r="F246" s="6">
        <f ca="1">RANDBETWEEN(0,6)+((TODAY() - 'Employee Onboarding'!E246)/365.25)</f>
        <v>9.464750171115675</v>
      </c>
      <c r="G246" t="s">
        <v>756</v>
      </c>
      <c r="H246" s="2" t="s">
        <v>55</v>
      </c>
      <c r="I246" s="13" t="s">
        <v>22</v>
      </c>
    </row>
    <row r="247" spans="1:9" x14ac:dyDescent="0.3">
      <c r="A247" s="2">
        <v>106477</v>
      </c>
      <c r="B247" t="s">
        <v>757</v>
      </c>
      <c r="C247" t="s">
        <v>758</v>
      </c>
      <c r="D247" t="str">
        <f>_xlfn.CONCAT(Tbl_Emp_Onboarding[[#This Row],[First Name]],".",Tbl_Emp_Onboarding[[#This Row],[Last Name]],"@saregama.com")</f>
        <v>Corine.Tonbridge@saregama.com</v>
      </c>
      <c r="E247" s="5">
        <v>43382</v>
      </c>
      <c r="F247" s="6">
        <f ca="1">RANDBETWEEN(0,6)+((TODAY() - 'Employee Onboarding'!E247)/365.25)</f>
        <v>6.0013689253935656</v>
      </c>
      <c r="G247" t="s">
        <v>759</v>
      </c>
      <c r="H247" s="2" t="s">
        <v>62</v>
      </c>
      <c r="I247" s="13" t="s">
        <v>63</v>
      </c>
    </row>
    <row r="248" spans="1:9" x14ac:dyDescent="0.3">
      <c r="A248" s="2">
        <v>106959</v>
      </c>
      <c r="B248" t="s">
        <v>760</v>
      </c>
      <c r="C248" t="s">
        <v>761</v>
      </c>
      <c r="D248" t="str">
        <f>_xlfn.CONCAT(Tbl_Emp_Onboarding[[#This Row],[First Name]],".",Tbl_Emp_Onboarding[[#This Row],[Last Name]],"@saregama.com")</f>
        <v>Junia.Addess@saregama.com</v>
      </c>
      <c r="E248" s="5">
        <v>43504</v>
      </c>
      <c r="F248" s="6">
        <f ca="1">RANDBETWEEN(0,6)+((TODAY() - 'Employee Onboarding'!E248)/365.25)</f>
        <v>2.6673511293634498</v>
      </c>
      <c r="G248" t="s">
        <v>762</v>
      </c>
      <c r="H248" s="2" t="s">
        <v>50</v>
      </c>
      <c r="I248" s="13" t="s">
        <v>51</v>
      </c>
    </row>
    <row r="249" spans="1:9" x14ac:dyDescent="0.3">
      <c r="A249" s="2">
        <v>105802</v>
      </c>
      <c r="B249" t="s">
        <v>763</v>
      </c>
      <c r="C249" t="s">
        <v>764</v>
      </c>
      <c r="D249" t="str">
        <f>_xlfn.CONCAT(Tbl_Emp_Onboarding[[#This Row],[First Name]],".",Tbl_Emp_Onboarding[[#This Row],[Last Name]],"@saregama.com")</f>
        <v>Estel.Bris@saregama.com</v>
      </c>
      <c r="E249" s="5">
        <v>37823</v>
      </c>
      <c r="F249" s="6">
        <f ca="1">RANDBETWEEN(0,6)+((TODAY() - 'Employee Onboarding'!E249)/365.25)</f>
        <v>17.221081451060918</v>
      </c>
      <c r="G249" t="s">
        <v>765</v>
      </c>
      <c r="H249" s="2" t="s">
        <v>55</v>
      </c>
      <c r="I249" s="13" t="s">
        <v>22</v>
      </c>
    </row>
    <row r="250" spans="1:9" x14ac:dyDescent="0.3">
      <c r="A250" s="2">
        <v>106658</v>
      </c>
      <c r="B250" t="s">
        <v>766</v>
      </c>
      <c r="C250" t="s">
        <v>767</v>
      </c>
      <c r="D250" t="str">
        <f>_xlfn.CONCAT(Tbl_Emp_Onboarding[[#This Row],[First Name]],".",Tbl_Emp_Onboarding[[#This Row],[Last Name]],"@saregama.com")</f>
        <v>Pru.Nurse@saregama.com</v>
      </c>
      <c r="E250" s="5">
        <v>32980</v>
      </c>
      <c r="F250" s="6">
        <f ca="1">RANDBETWEEN(0,6)+((TODAY() - 'Employee Onboarding'!E250)/365.25)</f>
        <v>31.480492813141684</v>
      </c>
      <c r="G250" t="s">
        <v>768</v>
      </c>
      <c r="H250" s="2" t="s">
        <v>12</v>
      </c>
      <c r="I250" s="13" t="s">
        <v>113</v>
      </c>
    </row>
    <row r="251" spans="1:9" x14ac:dyDescent="0.3">
      <c r="A251" s="2">
        <v>106794</v>
      </c>
      <c r="B251" t="s">
        <v>769</v>
      </c>
      <c r="C251" t="s">
        <v>770</v>
      </c>
      <c r="D251" t="str">
        <f>_xlfn.CONCAT(Tbl_Emp_Onboarding[[#This Row],[First Name]],".",Tbl_Emp_Onboarding[[#This Row],[Last Name]],"@saregama.com")</f>
        <v>Keene.Pate@saregama.com</v>
      </c>
      <c r="E251" s="5">
        <v>36320</v>
      </c>
      <c r="F251" s="6">
        <f ca="1">RANDBETWEEN(0,6)+((TODAY() - 'Employee Onboarding'!E251)/365.25)</f>
        <v>22.336071184120467</v>
      </c>
      <c r="G251" t="s">
        <v>771</v>
      </c>
      <c r="H251" s="2" t="s">
        <v>17</v>
      </c>
      <c r="I251" s="13" t="s">
        <v>113</v>
      </c>
    </row>
    <row r="252" spans="1:9" x14ac:dyDescent="0.3">
      <c r="A252" s="2">
        <v>105924</v>
      </c>
      <c r="B252" t="s">
        <v>772</v>
      </c>
      <c r="C252" t="s">
        <v>773</v>
      </c>
      <c r="D252" t="str">
        <f>_xlfn.CONCAT(Tbl_Emp_Onboarding[[#This Row],[First Name]],".",Tbl_Emp_Onboarding[[#This Row],[Last Name]],"@saregama.com")</f>
        <v>Nelie.Elster@saregama.com</v>
      </c>
      <c r="E252" s="5">
        <v>43901</v>
      </c>
      <c r="F252" s="6">
        <f ca="1">RANDBETWEEN(0,6)+((TODAY() - 'Employee Onboarding'!E252)/365.25)</f>
        <v>2.5804243668720055</v>
      </c>
      <c r="G252" t="s">
        <v>774</v>
      </c>
      <c r="H252" s="2" t="s">
        <v>62</v>
      </c>
      <c r="I252" s="13" t="s">
        <v>51</v>
      </c>
    </row>
    <row r="253" spans="1:9" x14ac:dyDescent="0.3">
      <c r="A253" s="2">
        <v>103415</v>
      </c>
      <c r="B253" t="s">
        <v>775</v>
      </c>
      <c r="C253" t="s">
        <v>776</v>
      </c>
      <c r="D253" t="str">
        <f>_xlfn.CONCAT(Tbl_Emp_Onboarding[[#This Row],[First Name]],".",Tbl_Emp_Onboarding[[#This Row],[Last Name]],"@saregama.com")</f>
        <v>Jilli.Errichelli@saregama.com</v>
      </c>
      <c r="E253" s="5">
        <v>29626</v>
      </c>
      <c r="F253" s="6">
        <f ca="1">RANDBETWEEN(0,6)+((TODAY() - 'Employee Onboarding'!E253)/365.25)</f>
        <v>40.663244353182755</v>
      </c>
      <c r="G253" t="s">
        <v>777</v>
      </c>
      <c r="H253" s="2" t="s">
        <v>55</v>
      </c>
      <c r="I253" s="13" t="s">
        <v>85</v>
      </c>
    </row>
    <row r="254" spans="1:9" x14ac:dyDescent="0.3">
      <c r="A254" s="2">
        <v>107103</v>
      </c>
      <c r="B254" t="s">
        <v>778</v>
      </c>
      <c r="C254" t="s">
        <v>779</v>
      </c>
      <c r="D254" t="str">
        <f>_xlfn.CONCAT(Tbl_Emp_Onboarding[[#This Row],[First Name]],".",Tbl_Emp_Onboarding[[#This Row],[Last Name]],"@saregama.com")</f>
        <v>Flori.Tomkys@saregama.com</v>
      </c>
      <c r="E254" s="5">
        <v>30875</v>
      </c>
      <c r="F254" s="6">
        <f ca="1">RANDBETWEEN(0,6)+((TODAY() - 'Employee Onboarding'!E254)/365.25)</f>
        <v>38.243668720054757</v>
      </c>
      <c r="G254" t="s">
        <v>780</v>
      </c>
      <c r="H254" s="2" t="s">
        <v>50</v>
      </c>
      <c r="I254" s="13" t="s">
        <v>129</v>
      </c>
    </row>
    <row r="255" spans="1:9" x14ac:dyDescent="0.3">
      <c r="A255" s="2">
        <v>103311</v>
      </c>
      <c r="B255" t="s">
        <v>781</v>
      </c>
      <c r="C255" t="s">
        <v>782</v>
      </c>
      <c r="D255" t="str">
        <f>_xlfn.CONCAT(Tbl_Emp_Onboarding[[#This Row],[First Name]],".",Tbl_Emp_Onboarding[[#This Row],[Last Name]],"@saregama.com")</f>
        <v>Lilias.Sturt@saregama.com</v>
      </c>
      <c r="E255" s="5">
        <v>35137</v>
      </c>
      <c r="F255" s="6">
        <f ca="1">RANDBETWEEN(0,6)+((TODAY() - 'Employee Onboarding'!E255)/365.25)</f>
        <v>25.57494866529774</v>
      </c>
      <c r="G255" t="s">
        <v>783</v>
      </c>
      <c r="H255" s="2" t="s">
        <v>12</v>
      </c>
      <c r="I255" s="13" t="s">
        <v>13</v>
      </c>
    </row>
    <row r="256" spans="1:9" x14ac:dyDescent="0.3">
      <c r="A256" s="2">
        <v>104919</v>
      </c>
      <c r="B256" t="s">
        <v>784</v>
      </c>
      <c r="C256" t="s">
        <v>785</v>
      </c>
      <c r="D256" t="str">
        <f>_xlfn.CONCAT(Tbl_Emp_Onboarding[[#This Row],[First Name]],".",Tbl_Emp_Onboarding[[#This Row],[Last Name]],"@saregama.com")</f>
        <v>Tod.Schiementz@saregama.com</v>
      </c>
      <c r="E256" s="5">
        <v>42856</v>
      </c>
      <c r="F256" s="6">
        <f ca="1">RANDBETWEEN(0,6)+((TODAY() - 'Employee Onboarding'!E256)/365.25)</f>
        <v>5.4414784394250511</v>
      </c>
      <c r="G256" t="s">
        <v>786</v>
      </c>
      <c r="H256" s="2" t="s">
        <v>50</v>
      </c>
      <c r="I256" s="13" t="s">
        <v>51</v>
      </c>
    </row>
    <row r="257" spans="1:9" x14ac:dyDescent="0.3">
      <c r="A257" s="2">
        <v>106199</v>
      </c>
      <c r="B257" t="s">
        <v>787</v>
      </c>
      <c r="C257" t="s">
        <v>788</v>
      </c>
      <c r="D257" t="str">
        <f>_xlfn.CONCAT(Tbl_Emp_Onboarding[[#This Row],[First Name]],".",Tbl_Emp_Onboarding[[#This Row],[Last Name]],"@saregama.com")</f>
        <v>Jenny.Pettisall@saregama.com</v>
      </c>
      <c r="E257" s="5">
        <v>40729</v>
      </c>
      <c r="F257" s="6">
        <f ca="1">RANDBETWEEN(0,6)+((TODAY() - 'Employee Onboarding'!E257)/365.25)</f>
        <v>11.264887063655031</v>
      </c>
      <c r="G257" t="s">
        <v>789</v>
      </c>
      <c r="H257" s="2" t="s">
        <v>62</v>
      </c>
      <c r="I257" s="13" t="s">
        <v>63</v>
      </c>
    </row>
    <row r="258" spans="1:9" x14ac:dyDescent="0.3">
      <c r="A258" s="2">
        <v>106277</v>
      </c>
      <c r="B258" t="s">
        <v>790</v>
      </c>
      <c r="C258" t="s">
        <v>791</v>
      </c>
      <c r="D258" t="str">
        <f>_xlfn.CONCAT(Tbl_Emp_Onboarding[[#This Row],[First Name]],".",Tbl_Emp_Onboarding[[#This Row],[Last Name]],"@saregama.com")</f>
        <v>Raynor.Elverston@saregama.com</v>
      </c>
      <c r="E258" s="5">
        <v>33800</v>
      </c>
      <c r="F258" s="6">
        <f ca="1">RANDBETWEEN(0,6)+((TODAY() - 'Employee Onboarding'!E258)/365.25)</f>
        <v>28.23545516769336</v>
      </c>
      <c r="G258" t="s">
        <v>792</v>
      </c>
      <c r="H258" s="2" t="s">
        <v>21</v>
      </c>
      <c r="I258" s="13" t="s">
        <v>85</v>
      </c>
    </row>
    <row r="259" spans="1:9" x14ac:dyDescent="0.3">
      <c r="A259" s="2">
        <v>107572</v>
      </c>
      <c r="B259" t="s">
        <v>793</v>
      </c>
      <c r="C259" t="s">
        <v>794</v>
      </c>
      <c r="D259" t="str">
        <f>_xlfn.CONCAT(Tbl_Emp_Onboarding[[#This Row],[First Name]],".",Tbl_Emp_Onboarding[[#This Row],[Last Name]],"@saregama.com")</f>
        <v>Ellette.Castangia@saregama.com</v>
      </c>
      <c r="E259" s="5">
        <v>38226</v>
      </c>
      <c r="F259" s="6">
        <f ca="1">RANDBETWEEN(0,6)+((TODAY() - 'Employee Onboarding'!E259)/365.25)</f>
        <v>21.11772758384668</v>
      </c>
      <c r="G259" t="s">
        <v>795</v>
      </c>
      <c r="H259" s="2" t="s">
        <v>21</v>
      </c>
      <c r="I259" s="13" t="s">
        <v>22</v>
      </c>
    </row>
    <row r="260" spans="1:9" x14ac:dyDescent="0.3">
      <c r="A260" s="2">
        <v>107403</v>
      </c>
      <c r="B260" t="s">
        <v>796</v>
      </c>
      <c r="C260" t="s">
        <v>797</v>
      </c>
      <c r="D260" t="str">
        <f>_xlfn.CONCAT(Tbl_Emp_Onboarding[[#This Row],[First Name]],".",Tbl_Emp_Onboarding[[#This Row],[Last Name]],"@saregama.com")</f>
        <v>Corina.Blythin@saregama.com</v>
      </c>
      <c r="E260" s="5">
        <v>34386</v>
      </c>
      <c r="F260" s="6">
        <f ca="1">RANDBETWEEN(0,6)+((TODAY() - 'Employee Onboarding'!E260)/365.25)</f>
        <v>32.631074606433948</v>
      </c>
      <c r="G260" t="s">
        <v>798</v>
      </c>
      <c r="H260" s="2" t="s">
        <v>55</v>
      </c>
      <c r="I260" s="13" t="s">
        <v>22</v>
      </c>
    </row>
    <row r="261" spans="1:9" x14ac:dyDescent="0.3">
      <c r="A261" s="2">
        <v>107748</v>
      </c>
      <c r="B261" t="s">
        <v>730</v>
      </c>
      <c r="C261" t="s">
        <v>799</v>
      </c>
      <c r="D261" t="str">
        <f>_xlfn.CONCAT(Tbl_Emp_Onboarding[[#This Row],[First Name]],".",Tbl_Emp_Onboarding[[#This Row],[Last Name]],"@saregama.com")</f>
        <v>Colline.Hurlston@saregama.com</v>
      </c>
      <c r="E261" s="5">
        <v>40115</v>
      </c>
      <c r="F261" s="6">
        <f ca="1">RANDBETWEEN(0,6)+((TODAY() - 'Employee Onboarding'!E261)/365.25)</f>
        <v>12.945927446954141</v>
      </c>
      <c r="G261" t="s">
        <v>800</v>
      </c>
      <c r="H261" s="2" t="s">
        <v>17</v>
      </c>
      <c r="I261" s="13" t="s">
        <v>46</v>
      </c>
    </row>
    <row r="262" spans="1:9" x14ac:dyDescent="0.3">
      <c r="A262" s="2">
        <v>106325</v>
      </c>
      <c r="B262" t="s">
        <v>801</v>
      </c>
      <c r="C262" t="s">
        <v>802</v>
      </c>
      <c r="D262" t="str">
        <f>_xlfn.CONCAT(Tbl_Emp_Onboarding[[#This Row],[First Name]],".",Tbl_Emp_Onboarding[[#This Row],[Last Name]],"@saregama.com")</f>
        <v>Antonella.Rodinger@saregama.com</v>
      </c>
      <c r="E262" s="5">
        <v>32910</v>
      </c>
      <c r="F262" s="6">
        <f ca="1">RANDBETWEEN(0,6)+((TODAY() - 'Employee Onboarding'!E262)/365.25)</f>
        <v>30.67214236824093</v>
      </c>
      <c r="G262" t="s">
        <v>803</v>
      </c>
      <c r="H262" s="2" t="s">
        <v>17</v>
      </c>
      <c r="I262" s="13" t="s">
        <v>113</v>
      </c>
    </row>
    <row r="263" spans="1:9" x14ac:dyDescent="0.3">
      <c r="A263" s="2">
        <v>104817</v>
      </c>
      <c r="B263" t="s">
        <v>804</v>
      </c>
      <c r="C263" t="s">
        <v>805</v>
      </c>
      <c r="D263" t="str">
        <f>_xlfn.CONCAT(Tbl_Emp_Onboarding[[#This Row],[First Name]],".",Tbl_Emp_Onboarding[[#This Row],[Last Name]],"@saregama.com")</f>
        <v>Forbes.Sketh@saregama.com</v>
      </c>
      <c r="E263" s="5">
        <v>38088</v>
      </c>
      <c r="F263" s="6">
        <f ca="1">RANDBETWEEN(0,6)+((TODAY() - 'Employee Onboarding'!E263)/365.25)</f>
        <v>18.495550992470911</v>
      </c>
      <c r="G263" t="s">
        <v>806</v>
      </c>
      <c r="H263" s="2" t="s">
        <v>21</v>
      </c>
      <c r="I263" s="13" t="s">
        <v>85</v>
      </c>
    </row>
    <row r="264" spans="1:9" x14ac:dyDescent="0.3">
      <c r="A264" s="2">
        <v>104804</v>
      </c>
      <c r="B264" t="s">
        <v>807</v>
      </c>
      <c r="C264" t="s">
        <v>808</v>
      </c>
      <c r="D264" t="str">
        <f>_xlfn.CONCAT(Tbl_Emp_Onboarding[[#This Row],[First Name]],".",Tbl_Emp_Onboarding[[#This Row],[Last Name]],"@saregama.com")</f>
        <v>Maxwell.Cottis@saregama.com</v>
      </c>
      <c r="E264" s="5">
        <v>40238</v>
      </c>
      <c r="F264" s="6">
        <f ca="1">RANDBETWEEN(0,6)+((TODAY() - 'Employee Onboarding'!E264)/365.25)</f>
        <v>14.609171800136892</v>
      </c>
      <c r="G264" t="s">
        <v>809</v>
      </c>
      <c r="H264" s="2" t="s">
        <v>55</v>
      </c>
      <c r="I264" s="13" t="s">
        <v>85</v>
      </c>
    </row>
    <row r="265" spans="1:9" x14ac:dyDescent="0.3">
      <c r="A265" s="2">
        <v>105796</v>
      </c>
      <c r="B265" t="s">
        <v>810</v>
      </c>
      <c r="C265" t="s">
        <v>811</v>
      </c>
      <c r="D265" t="str">
        <f>_xlfn.CONCAT(Tbl_Emp_Onboarding[[#This Row],[First Name]],".",Tbl_Emp_Onboarding[[#This Row],[Last Name]],"@saregama.com")</f>
        <v>Michel.Callaghan@saregama.com</v>
      </c>
      <c r="E265" s="5">
        <v>37165</v>
      </c>
      <c r="F265" s="6">
        <f ca="1">RANDBETWEEN(0,6)+((TODAY() - 'Employee Onboarding'!E265)/365.25)</f>
        <v>24.022587268993838</v>
      </c>
      <c r="G265" t="s">
        <v>812</v>
      </c>
      <c r="H265" s="2" t="s">
        <v>50</v>
      </c>
      <c r="I265" s="13" t="s">
        <v>129</v>
      </c>
    </row>
    <row r="266" spans="1:9" x14ac:dyDescent="0.3">
      <c r="A266" s="2">
        <v>106319</v>
      </c>
      <c r="B266" t="s">
        <v>813</v>
      </c>
      <c r="C266" t="s">
        <v>814</v>
      </c>
      <c r="D266" t="str">
        <f>_xlfn.CONCAT(Tbl_Emp_Onboarding[[#This Row],[First Name]],".",Tbl_Emp_Onboarding[[#This Row],[Last Name]],"@saregama.com")</f>
        <v>Ursala.Broader@saregama.com</v>
      </c>
      <c r="E266" s="5">
        <v>44100</v>
      </c>
      <c r="F266" s="6">
        <f ca="1">RANDBETWEEN(0,6)+((TODAY() - 'Employee Onboarding'!E266)/365.25)</f>
        <v>4.0355920602327169</v>
      </c>
      <c r="G266" t="s">
        <v>815</v>
      </c>
      <c r="H266" s="2" t="s">
        <v>21</v>
      </c>
      <c r="I266" s="13" t="s">
        <v>22</v>
      </c>
    </row>
    <row r="267" spans="1:9" x14ac:dyDescent="0.3">
      <c r="A267" s="2">
        <v>107125</v>
      </c>
      <c r="B267" t="s">
        <v>816</v>
      </c>
      <c r="C267" t="s">
        <v>817</v>
      </c>
      <c r="D267" t="str">
        <f>_xlfn.CONCAT(Tbl_Emp_Onboarding[[#This Row],[First Name]],".",Tbl_Emp_Onboarding[[#This Row],[Last Name]],"@saregama.com")</f>
        <v>Donaugh.Arend@saregama.com</v>
      </c>
      <c r="E267" s="5">
        <v>39001</v>
      </c>
      <c r="F267" s="6">
        <f ca="1">RANDBETWEEN(0,6)+((TODAY() - 'Employee Onboarding'!E267)/365.25)</f>
        <v>17.995893223819301</v>
      </c>
      <c r="G267" t="s">
        <v>818</v>
      </c>
      <c r="H267" s="2" t="s">
        <v>62</v>
      </c>
      <c r="I267" s="13" t="s">
        <v>51</v>
      </c>
    </row>
    <row r="268" spans="1:9" x14ac:dyDescent="0.3">
      <c r="A268" s="2">
        <v>105444</v>
      </c>
      <c r="B268" t="s">
        <v>819</v>
      </c>
      <c r="C268" t="s">
        <v>820</v>
      </c>
      <c r="D268" t="str">
        <f>_xlfn.CONCAT(Tbl_Emp_Onboarding[[#This Row],[First Name]],".",Tbl_Emp_Onboarding[[#This Row],[Last Name]],"@saregama.com")</f>
        <v>Rudolf.Curcher@saregama.com</v>
      </c>
      <c r="E268" s="5">
        <v>36863</v>
      </c>
      <c r="F268" s="6">
        <f ca="1">RANDBETWEEN(0,6)+((TODAY() - 'Employee Onboarding'!E268)/365.25)</f>
        <v>20.849418206707735</v>
      </c>
      <c r="G268" t="s">
        <v>821</v>
      </c>
      <c r="H268" s="2" t="s">
        <v>62</v>
      </c>
      <c r="I268" s="13" t="s">
        <v>129</v>
      </c>
    </row>
    <row r="269" spans="1:9" x14ac:dyDescent="0.3">
      <c r="A269" s="2">
        <v>104656</v>
      </c>
      <c r="B269" t="s">
        <v>822</v>
      </c>
      <c r="C269" t="s">
        <v>823</v>
      </c>
      <c r="D269" t="str">
        <f>_xlfn.CONCAT(Tbl_Emp_Onboarding[[#This Row],[First Name]],".",Tbl_Emp_Onboarding[[#This Row],[Last Name]],"@saregama.com")</f>
        <v>Janina.Odby@saregama.com</v>
      </c>
      <c r="E269" s="5">
        <v>38468</v>
      </c>
      <c r="F269" s="6">
        <f ca="1">RANDBETWEEN(0,6)+((TODAY() - 'Employee Onboarding'!E269)/365.25)</f>
        <v>20.455167693360714</v>
      </c>
      <c r="G269" t="s">
        <v>824</v>
      </c>
      <c r="H269" s="2" t="s">
        <v>12</v>
      </c>
      <c r="I269" s="13" t="s">
        <v>13</v>
      </c>
    </row>
    <row r="270" spans="1:9" x14ac:dyDescent="0.3">
      <c r="A270" s="2">
        <v>102762</v>
      </c>
      <c r="B270" t="s">
        <v>825</v>
      </c>
      <c r="C270" t="s">
        <v>826</v>
      </c>
      <c r="D270" t="str">
        <f>_xlfn.CONCAT(Tbl_Emp_Onboarding[[#This Row],[First Name]],".",Tbl_Emp_Onboarding[[#This Row],[Last Name]],"@saregama.com")</f>
        <v>Deerdre.Carratt@saregama.com</v>
      </c>
      <c r="E270" s="5">
        <v>37524</v>
      </c>
      <c r="F270" s="6">
        <f ca="1">RANDBETWEEN(0,6)+((TODAY() - 'Employee Onboarding'!E270)/365.25)</f>
        <v>23.039698836413415</v>
      </c>
      <c r="G270" t="s">
        <v>827</v>
      </c>
      <c r="H270" s="2" t="s">
        <v>12</v>
      </c>
      <c r="I270" s="13" t="s">
        <v>113</v>
      </c>
    </row>
    <row r="271" spans="1:9" x14ac:dyDescent="0.3">
      <c r="A271" s="2">
        <v>104646</v>
      </c>
      <c r="B271" t="s">
        <v>828</v>
      </c>
      <c r="C271" t="s">
        <v>829</v>
      </c>
      <c r="D271" t="str">
        <f>_xlfn.CONCAT(Tbl_Emp_Onboarding[[#This Row],[First Name]],".",Tbl_Emp_Onboarding[[#This Row],[Last Name]],"@saregama.com")</f>
        <v>Stafford.Gaye@saregama.com</v>
      </c>
      <c r="E271" s="5">
        <v>36955</v>
      </c>
      <c r="F271" s="6">
        <f ca="1">RANDBETWEEN(0,6)+((TODAY() - 'Employee Onboarding'!E271)/365.25)</f>
        <v>23.597535934291582</v>
      </c>
      <c r="G271" t="s">
        <v>830</v>
      </c>
      <c r="H271" s="2" t="s">
        <v>55</v>
      </c>
      <c r="I271" s="13" t="s">
        <v>22</v>
      </c>
    </row>
    <row r="272" spans="1:9" x14ac:dyDescent="0.3">
      <c r="A272" s="2">
        <v>106075</v>
      </c>
      <c r="B272" t="s">
        <v>831</v>
      </c>
      <c r="C272" t="s">
        <v>832</v>
      </c>
      <c r="D272" t="str">
        <f>_xlfn.CONCAT(Tbl_Emp_Onboarding[[#This Row],[First Name]],".",Tbl_Emp_Onboarding[[#This Row],[Last Name]],"@saregama.com")</f>
        <v>Hilda.Paice@saregama.com</v>
      </c>
      <c r="E272" s="5">
        <v>42430</v>
      </c>
      <c r="F272" s="6">
        <f ca="1">RANDBETWEEN(0,6)+((TODAY() - 'Employee Onboarding'!E272)/365.25)</f>
        <v>6.6078028747433262</v>
      </c>
      <c r="G272" t="s">
        <v>833</v>
      </c>
      <c r="H272" s="2" t="s">
        <v>50</v>
      </c>
      <c r="I272" s="13" t="s">
        <v>51</v>
      </c>
    </row>
    <row r="273" spans="1:9" x14ac:dyDescent="0.3">
      <c r="A273" s="2">
        <v>102060</v>
      </c>
      <c r="B273" t="s">
        <v>834</v>
      </c>
      <c r="C273" t="s">
        <v>835</v>
      </c>
      <c r="D273" t="str">
        <f>_xlfn.CONCAT(Tbl_Emp_Onboarding[[#This Row],[First Name]],".",Tbl_Emp_Onboarding[[#This Row],[Last Name]],"@saregama.com")</f>
        <v>Virgie.Antonucci@saregama.com</v>
      </c>
      <c r="E273" s="5">
        <v>43832</v>
      </c>
      <c r="F273" s="6">
        <f ca="1">RANDBETWEEN(0,6)+((TODAY() - 'Employee Onboarding'!E273)/365.25)</f>
        <v>3.7693360711841204</v>
      </c>
      <c r="G273" t="s">
        <v>836</v>
      </c>
      <c r="H273" s="2" t="s">
        <v>12</v>
      </c>
      <c r="I273" s="13" t="s">
        <v>13</v>
      </c>
    </row>
    <row r="274" spans="1:9" x14ac:dyDescent="0.3">
      <c r="A274" s="2">
        <v>105819</v>
      </c>
      <c r="B274" t="s">
        <v>837</v>
      </c>
      <c r="C274" t="s">
        <v>838</v>
      </c>
      <c r="D274" t="str">
        <f>_xlfn.CONCAT(Tbl_Emp_Onboarding[[#This Row],[First Name]],".",Tbl_Emp_Onboarding[[#This Row],[Last Name]],"@saregama.com")</f>
        <v>Syd.Circuit@saregama.com</v>
      </c>
      <c r="E274" s="5">
        <v>34291</v>
      </c>
      <c r="F274" s="6">
        <f ca="1">RANDBETWEEN(0,6)+((TODAY() - 'Employee Onboarding'!E274)/365.25)</f>
        <v>29.891170431211499</v>
      </c>
      <c r="G274" t="s">
        <v>839</v>
      </c>
      <c r="H274" s="2" t="s">
        <v>50</v>
      </c>
      <c r="I274" s="13" t="s">
        <v>63</v>
      </c>
    </row>
    <row r="275" spans="1:9" x14ac:dyDescent="0.3">
      <c r="A275" s="2">
        <v>105192</v>
      </c>
      <c r="B275" t="s">
        <v>840</v>
      </c>
      <c r="C275" t="s">
        <v>841</v>
      </c>
      <c r="D275" t="str">
        <f>_xlfn.CONCAT(Tbl_Emp_Onboarding[[#This Row],[First Name]],".",Tbl_Emp_Onboarding[[#This Row],[Last Name]],"@saregama.com")</f>
        <v>Isak.Ellcome@saregama.com</v>
      </c>
      <c r="E275" s="5">
        <v>41655</v>
      </c>
      <c r="F275" s="6">
        <f ca="1">RANDBETWEEN(0,6)+((TODAY() - 'Employee Onboarding'!E275)/365.25)</f>
        <v>9.7296372347707063</v>
      </c>
      <c r="G275" t="s">
        <v>842</v>
      </c>
      <c r="H275" s="2" t="s">
        <v>21</v>
      </c>
      <c r="I275" s="13" t="s">
        <v>22</v>
      </c>
    </row>
    <row r="276" spans="1:9" x14ac:dyDescent="0.3">
      <c r="A276" s="2">
        <v>103221</v>
      </c>
      <c r="B276" t="s">
        <v>843</v>
      </c>
      <c r="C276" t="s">
        <v>844</v>
      </c>
      <c r="D276" t="str">
        <f>_xlfn.CONCAT(Tbl_Emp_Onboarding[[#This Row],[First Name]],".",Tbl_Emp_Onboarding[[#This Row],[Last Name]],"@saregama.com")</f>
        <v>Kenn.Whitear@saregama.com</v>
      </c>
      <c r="E276" s="5">
        <v>42879</v>
      </c>
      <c r="F276" s="6">
        <f ca="1">RANDBETWEEN(0,6)+((TODAY() - 'Employee Onboarding'!E276)/365.25)</f>
        <v>6.3785078713210126</v>
      </c>
      <c r="G276" t="s">
        <v>845</v>
      </c>
      <c r="H276" s="2" t="s">
        <v>21</v>
      </c>
      <c r="I276" s="13" t="s">
        <v>22</v>
      </c>
    </row>
    <row r="277" spans="1:9" x14ac:dyDescent="0.3">
      <c r="A277" s="2">
        <v>104408</v>
      </c>
      <c r="B277" t="s">
        <v>614</v>
      </c>
      <c r="C277" t="s">
        <v>846</v>
      </c>
      <c r="D277" t="str">
        <f>_xlfn.CONCAT(Tbl_Emp_Onboarding[[#This Row],[First Name]],".",Tbl_Emp_Onboarding[[#This Row],[Last Name]],"@saregama.com")</f>
        <v>Galvan.Ratie@saregama.com</v>
      </c>
      <c r="E277" s="5">
        <v>30340</v>
      </c>
      <c r="F277" s="6">
        <f ca="1">RANDBETWEEN(0,6)+((TODAY() - 'Employee Onboarding'!E277)/365.25)</f>
        <v>39.708418891170432</v>
      </c>
      <c r="G277" t="s">
        <v>847</v>
      </c>
      <c r="H277" s="2" t="s">
        <v>17</v>
      </c>
      <c r="I277" s="13" t="s">
        <v>46</v>
      </c>
    </row>
    <row r="278" spans="1:9" x14ac:dyDescent="0.3">
      <c r="A278" s="2">
        <v>102211</v>
      </c>
      <c r="B278" t="s">
        <v>848</v>
      </c>
      <c r="C278" t="s">
        <v>849</v>
      </c>
      <c r="D278" t="str">
        <f>_xlfn.CONCAT(Tbl_Emp_Onboarding[[#This Row],[First Name]],".",Tbl_Emp_Onboarding[[#This Row],[Last Name]],"@saregama.com")</f>
        <v>Grata.Philipp@saregama.com</v>
      </c>
      <c r="E278" s="5">
        <v>36985</v>
      </c>
      <c r="F278" s="6">
        <f ca="1">RANDBETWEEN(0,6)+((TODAY() - 'Employee Onboarding'!E278)/365.25)</f>
        <v>21.515400410677618</v>
      </c>
      <c r="G278" t="s">
        <v>850</v>
      </c>
      <c r="H278" s="2" t="s">
        <v>62</v>
      </c>
      <c r="I278" s="13" t="s">
        <v>63</v>
      </c>
    </row>
    <row r="279" spans="1:9" x14ac:dyDescent="0.3">
      <c r="A279" s="2">
        <v>103104</v>
      </c>
      <c r="B279" t="s">
        <v>851</v>
      </c>
      <c r="C279" t="s">
        <v>852</v>
      </c>
      <c r="D279" t="str">
        <f>_xlfn.CONCAT(Tbl_Emp_Onboarding[[#This Row],[First Name]],".",Tbl_Emp_Onboarding[[#This Row],[Last Name]],"@saregama.com")</f>
        <v>Antoinette.Godbehere@saregama.com</v>
      </c>
      <c r="E279" s="5">
        <v>44033</v>
      </c>
      <c r="F279" s="6">
        <f ca="1">RANDBETWEEN(0,6)+((TODAY() - 'Employee Onboarding'!E279)/365.25)</f>
        <v>2.2190280629705681</v>
      </c>
      <c r="G279" t="s">
        <v>853</v>
      </c>
      <c r="H279" s="2" t="s">
        <v>62</v>
      </c>
      <c r="I279" s="13" t="s">
        <v>51</v>
      </c>
    </row>
    <row r="280" spans="1:9" x14ac:dyDescent="0.3">
      <c r="A280" s="2">
        <v>102990</v>
      </c>
      <c r="B280" t="s">
        <v>854</v>
      </c>
      <c r="C280" t="s">
        <v>855</v>
      </c>
      <c r="D280" t="str">
        <f>_xlfn.CONCAT(Tbl_Emp_Onboarding[[#This Row],[First Name]],".",Tbl_Emp_Onboarding[[#This Row],[Last Name]],"@saregama.com")</f>
        <v>Marlo.Costar@saregama.com</v>
      </c>
      <c r="E280" s="5">
        <v>43090</v>
      </c>
      <c r="F280" s="6">
        <f ca="1">RANDBETWEEN(0,6)+((TODAY() - 'Employee Onboarding'!E280)/365.25)</f>
        <v>6.8008213552361401</v>
      </c>
      <c r="G280" t="s">
        <v>856</v>
      </c>
      <c r="H280" s="2" t="s">
        <v>55</v>
      </c>
      <c r="I280" s="13" t="s">
        <v>22</v>
      </c>
    </row>
    <row r="281" spans="1:9" x14ac:dyDescent="0.3">
      <c r="A281" s="2">
        <v>105216</v>
      </c>
      <c r="B281" t="s">
        <v>857</v>
      </c>
      <c r="C281" t="s">
        <v>858</v>
      </c>
      <c r="D281" t="str">
        <f>_xlfn.CONCAT(Tbl_Emp_Onboarding[[#This Row],[First Name]],".",Tbl_Emp_Onboarding[[#This Row],[Last Name]],"@saregama.com")</f>
        <v>Trumann.Bunyard@saregama.com</v>
      </c>
      <c r="E281" s="5">
        <v>38996</v>
      </c>
      <c r="F281" s="6">
        <f ca="1">RANDBETWEEN(0,6)+((TODAY() - 'Employee Onboarding'!E281)/365.25)</f>
        <v>15.009582477754963</v>
      </c>
      <c r="G281" t="s">
        <v>859</v>
      </c>
      <c r="H281" s="2" t="s">
        <v>17</v>
      </c>
      <c r="I281" s="13" t="s">
        <v>13</v>
      </c>
    </row>
    <row r="282" spans="1:9" x14ac:dyDescent="0.3">
      <c r="A282" s="2">
        <v>103919</v>
      </c>
      <c r="B282" t="s">
        <v>860</v>
      </c>
      <c r="C282" t="s">
        <v>861</v>
      </c>
      <c r="D282" t="str">
        <f>_xlfn.CONCAT(Tbl_Emp_Onboarding[[#This Row],[First Name]],".",Tbl_Emp_Onboarding[[#This Row],[Last Name]],"@saregama.com")</f>
        <v>Rolf.Frankom@saregama.com</v>
      </c>
      <c r="E282" s="5">
        <v>39877</v>
      </c>
      <c r="F282" s="6">
        <f ca="1">RANDBETWEEN(0,6)+((TODAY() - 'Employee Onboarding'!E282)/365.25)</f>
        <v>11.597535934291582</v>
      </c>
      <c r="G282" t="s">
        <v>862</v>
      </c>
      <c r="H282" s="2" t="s">
        <v>12</v>
      </c>
      <c r="I282" s="13" t="s">
        <v>35</v>
      </c>
    </row>
    <row r="283" spans="1:9" x14ac:dyDescent="0.3">
      <c r="A283" s="2">
        <v>106324</v>
      </c>
      <c r="B283" t="s">
        <v>863</v>
      </c>
      <c r="C283" t="s">
        <v>864</v>
      </c>
      <c r="D283" t="str">
        <f>_xlfn.CONCAT(Tbl_Emp_Onboarding[[#This Row],[First Name]],".",Tbl_Emp_Onboarding[[#This Row],[Last Name]],"@saregama.com")</f>
        <v>Sean.Eslie@saregama.com</v>
      </c>
      <c r="E283" s="5">
        <v>32168</v>
      </c>
      <c r="F283" s="6">
        <f ca="1">RANDBETWEEN(0,6)+((TODAY() - 'Employee Onboarding'!E283)/365.25)</f>
        <v>36.703627652292951</v>
      </c>
      <c r="G283" t="s">
        <v>865</v>
      </c>
      <c r="H283" s="2" t="s">
        <v>50</v>
      </c>
      <c r="I283" s="13" t="s">
        <v>63</v>
      </c>
    </row>
    <row r="284" spans="1:9" x14ac:dyDescent="0.3">
      <c r="A284" s="2">
        <v>106751</v>
      </c>
      <c r="B284" t="s">
        <v>866</v>
      </c>
      <c r="C284" t="s">
        <v>867</v>
      </c>
      <c r="D284" t="str">
        <f>_xlfn.CONCAT(Tbl_Emp_Onboarding[[#This Row],[First Name]],".",Tbl_Emp_Onboarding[[#This Row],[Last Name]],"@saregama.com")</f>
        <v>Feodor.FitzGilbert@saregama.com</v>
      </c>
      <c r="E284" s="5">
        <v>43171</v>
      </c>
      <c r="F284" s="6">
        <f ca="1">RANDBETWEEN(0,6)+((TODAY() - 'Employee Onboarding'!E284)/365.25)</f>
        <v>6.5790554414784399</v>
      </c>
      <c r="G284" t="s">
        <v>868</v>
      </c>
      <c r="H284" s="2" t="s">
        <v>12</v>
      </c>
      <c r="I284" s="13" t="s">
        <v>35</v>
      </c>
    </row>
    <row r="285" spans="1:9" x14ac:dyDescent="0.3">
      <c r="A285" s="2">
        <v>105181</v>
      </c>
      <c r="B285" t="s">
        <v>869</v>
      </c>
      <c r="C285" t="s">
        <v>870</v>
      </c>
      <c r="D285" t="str">
        <f>_xlfn.CONCAT(Tbl_Emp_Onboarding[[#This Row],[First Name]],".",Tbl_Emp_Onboarding[[#This Row],[Last Name]],"@saregama.com")</f>
        <v>Loretta.Minot@saregama.com</v>
      </c>
      <c r="E285" s="5">
        <v>43205</v>
      </c>
      <c r="F285" s="6">
        <f ca="1">RANDBETWEEN(0,6)+((TODAY() - 'Employee Onboarding'!E285)/365.25)</f>
        <v>7.4859685147159478</v>
      </c>
      <c r="G285" t="s">
        <v>871</v>
      </c>
      <c r="H285" s="2" t="s">
        <v>12</v>
      </c>
      <c r="I285" s="13" t="s">
        <v>35</v>
      </c>
    </row>
    <row r="286" spans="1:9" x14ac:dyDescent="0.3">
      <c r="A286" s="2">
        <v>106094</v>
      </c>
      <c r="B286" t="s">
        <v>872</v>
      </c>
      <c r="C286" t="s">
        <v>873</v>
      </c>
      <c r="D286" t="str">
        <f>_xlfn.CONCAT(Tbl_Emp_Onboarding[[#This Row],[First Name]],".",Tbl_Emp_Onboarding[[#This Row],[Last Name]],"@saregama.com")</f>
        <v>Vaughn.Dormand@saregama.com</v>
      </c>
      <c r="E286" s="5">
        <v>36721</v>
      </c>
      <c r="F286" s="6">
        <f ca="1">RANDBETWEEN(0,6)+((TODAY() - 'Employee Onboarding'!E286)/365.25)</f>
        <v>24.238193018480494</v>
      </c>
      <c r="G286" t="s">
        <v>874</v>
      </c>
      <c r="H286" s="2" t="s">
        <v>55</v>
      </c>
      <c r="I286" s="13" t="s">
        <v>85</v>
      </c>
    </row>
    <row r="287" spans="1:9" x14ac:dyDescent="0.3">
      <c r="A287" s="2">
        <v>103031</v>
      </c>
      <c r="B287" t="s">
        <v>875</v>
      </c>
      <c r="C287" t="s">
        <v>876</v>
      </c>
      <c r="D287" t="str">
        <f>_xlfn.CONCAT(Tbl_Emp_Onboarding[[#This Row],[First Name]],".",Tbl_Emp_Onboarding[[#This Row],[Last Name]],"@saregama.com")</f>
        <v>Dalston.Dwire@saregama.com</v>
      </c>
      <c r="E287" s="5">
        <v>38666</v>
      </c>
      <c r="F287" s="6">
        <f ca="1">RANDBETWEEN(0,6)+((TODAY() - 'Employee Onboarding'!E287)/365.25)</f>
        <v>18.913073237508556</v>
      </c>
      <c r="G287" t="s">
        <v>877</v>
      </c>
      <c r="H287" s="2" t="s">
        <v>55</v>
      </c>
      <c r="I287" s="13" t="s">
        <v>22</v>
      </c>
    </row>
    <row r="288" spans="1:9" x14ac:dyDescent="0.3">
      <c r="A288" s="2">
        <v>103852</v>
      </c>
      <c r="B288" t="s">
        <v>518</v>
      </c>
      <c r="C288" t="s">
        <v>878</v>
      </c>
      <c r="D288" t="str">
        <f>_xlfn.CONCAT(Tbl_Emp_Onboarding[[#This Row],[First Name]],".",Tbl_Emp_Onboarding[[#This Row],[Last Name]],"@saregama.com")</f>
        <v>Peirce.Liddington@saregama.com</v>
      </c>
      <c r="E288" s="5">
        <v>37682</v>
      </c>
      <c r="F288" s="6">
        <f ca="1">RANDBETWEEN(0,6)+((TODAY() - 'Employee Onboarding'!E288)/365.25)</f>
        <v>19.607118412046542</v>
      </c>
      <c r="G288" t="s">
        <v>879</v>
      </c>
      <c r="H288" s="2" t="s">
        <v>55</v>
      </c>
      <c r="I288" s="13" t="s">
        <v>22</v>
      </c>
    </row>
    <row r="289" spans="1:9" x14ac:dyDescent="0.3">
      <c r="A289" s="2">
        <v>103678</v>
      </c>
      <c r="B289" t="s">
        <v>880</v>
      </c>
      <c r="C289" t="s">
        <v>881</v>
      </c>
      <c r="D289" t="str">
        <f>_xlfn.CONCAT(Tbl_Emp_Onboarding[[#This Row],[First Name]],".",Tbl_Emp_Onboarding[[#This Row],[Last Name]],"@saregama.com")</f>
        <v>Nikolai.Wrightim@saregama.com</v>
      </c>
      <c r="E289" s="5">
        <v>31750</v>
      </c>
      <c r="F289" s="6">
        <f ca="1">RANDBETWEEN(0,6)+((TODAY() - 'Employee Onboarding'!E289)/365.25)</f>
        <v>39.848049281314168</v>
      </c>
      <c r="G289" t="s">
        <v>882</v>
      </c>
      <c r="H289" s="2" t="s">
        <v>50</v>
      </c>
      <c r="I289" s="13" t="s">
        <v>63</v>
      </c>
    </row>
    <row r="290" spans="1:9" x14ac:dyDescent="0.3">
      <c r="A290" s="2">
        <v>102205</v>
      </c>
      <c r="B290" t="s">
        <v>883</v>
      </c>
      <c r="C290" t="s">
        <v>884</v>
      </c>
      <c r="D290" t="str">
        <f>_xlfn.CONCAT(Tbl_Emp_Onboarding[[#This Row],[First Name]],".",Tbl_Emp_Onboarding[[#This Row],[Last Name]],"@saregama.com")</f>
        <v>Augustine.Burnage@saregama.com</v>
      </c>
      <c r="E290" s="5">
        <v>43391</v>
      </c>
      <c r="F290" s="6">
        <f ca="1">RANDBETWEEN(0,6)+((TODAY() - 'Employee Onboarding'!E290)/365.25)</f>
        <v>1.9767282683093772</v>
      </c>
      <c r="G290" t="s">
        <v>885</v>
      </c>
      <c r="H290" s="2" t="s">
        <v>21</v>
      </c>
      <c r="I290" s="13" t="s">
        <v>22</v>
      </c>
    </row>
    <row r="291" spans="1:9" x14ac:dyDescent="0.3">
      <c r="A291" s="2">
        <v>107564</v>
      </c>
      <c r="B291" t="s">
        <v>886</v>
      </c>
      <c r="C291" t="s">
        <v>887</v>
      </c>
      <c r="D291" t="str">
        <f>_xlfn.CONCAT(Tbl_Emp_Onboarding[[#This Row],[First Name]],".",Tbl_Emp_Onboarding[[#This Row],[Last Name]],"@saregama.com")</f>
        <v>Arleen.Manifold@saregama.com</v>
      </c>
      <c r="E291" s="5">
        <v>43049</v>
      </c>
      <c r="F291" s="6">
        <f ca="1">RANDBETWEEN(0,6)+((TODAY() - 'Employee Onboarding'!E291)/365.25)</f>
        <v>3.9130732375085557</v>
      </c>
      <c r="G291" t="s">
        <v>888</v>
      </c>
      <c r="H291" s="2" t="s">
        <v>55</v>
      </c>
      <c r="I291" s="13" t="s">
        <v>22</v>
      </c>
    </row>
    <row r="292" spans="1:9" x14ac:dyDescent="0.3">
      <c r="A292" s="2">
        <v>103536</v>
      </c>
      <c r="B292" t="s">
        <v>889</v>
      </c>
      <c r="C292" t="s">
        <v>890</v>
      </c>
      <c r="D292" t="str">
        <f>_xlfn.CONCAT(Tbl_Emp_Onboarding[[#This Row],[First Name]],".",Tbl_Emp_Onboarding[[#This Row],[Last Name]],"@saregama.com")</f>
        <v>Hans.Rillatt@saregama.com</v>
      </c>
      <c r="E292" s="5">
        <v>30462</v>
      </c>
      <c r="F292" s="6">
        <f ca="1">RANDBETWEEN(0,6)+((TODAY() - 'Employee Onboarding'!E292)/365.25)</f>
        <v>37.374401095140314</v>
      </c>
      <c r="G292" t="s">
        <v>891</v>
      </c>
      <c r="H292" s="2" t="s">
        <v>55</v>
      </c>
      <c r="I292" s="13" t="s">
        <v>85</v>
      </c>
    </row>
    <row r="293" spans="1:9" x14ac:dyDescent="0.3">
      <c r="A293" s="2">
        <v>103434</v>
      </c>
      <c r="B293" t="s">
        <v>892</v>
      </c>
      <c r="C293" t="s">
        <v>893</v>
      </c>
      <c r="D293" t="str">
        <f>_xlfn.CONCAT(Tbl_Emp_Onboarding[[#This Row],[First Name]],".",Tbl_Emp_Onboarding[[#This Row],[Last Name]],"@saregama.com")</f>
        <v>Llywellyn.Micallef@saregama.com</v>
      </c>
      <c r="E293" s="5">
        <v>37565</v>
      </c>
      <c r="F293" s="6">
        <f ca="1">RANDBETWEEN(0,6)+((TODAY() - 'Employee Onboarding'!E293)/365.25)</f>
        <v>21.927446954141001</v>
      </c>
      <c r="G293" t="s">
        <v>894</v>
      </c>
      <c r="H293" s="2" t="s">
        <v>21</v>
      </c>
      <c r="I293" s="13" t="s">
        <v>22</v>
      </c>
    </row>
    <row r="294" spans="1:9" x14ac:dyDescent="0.3">
      <c r="A294" s="2">
        <v>102713</v>
      </c>
      <c r="B294" t="s">
        <v>895</v>
      </c>
      <c r="C294" t="s">
        <v>896</v>
      </c>
      <c r="D294" t="str">
        <f>_xlfn.CONCAT(Tbl_Emp_Onboarding[[#This Row],[First Name]],".",Tbl_Emp_Onboarding[[#This Row],[Last Name]],"@saregama.com")</f>
        <v>Leonardo.Grinnov@saregama.com</v>
      </c>
      <c r="E294" s="5">
        <v>42738</v>
      </c>
      <c r="F294" s="6">
        <f ca="1">RANDBETWEEN(0,6)+((TODAY() - 'Employee Onboarding'!E294)/365.25)</f>
        <v>8.7645448323066404</v>
      </c>
      <c r="G294" t="s">
        <v>897</v>
      </c>
      <c r="H294" s="2" t="s">
        <v>12</v>
      </c>
      <c r="I294" s="13" t="s">
        <v>13</v>
      </c>
    </row>
    <row r="295" spans="1:9" x14ac:dyDescent="0.3">
      <c r="A295" s="2">
        <v>106345</v>
      </c>
      <c r="B295" t="s">
        <v>898</v>
      </c>
      <c r="C295" t="s">
        <v>899</v>
      </c>
      <c r="D295" t="str">
        <f>_xlfn.CONCAT(Tbl_Emp_Onboarding[[#This Row],[First Name]],".",Tbl_Emp_Onboarding[[#This Row],[Last Name]],"@saregama.com")</f>
        <v>Cora.Guard@saregama.com</v>
      </c>
      <c r="E295" s="5">
        <v>42833</v>
      </c>
      <c r="F295" s="6">
        <f ca="1">RANDBETWEEN(0,6)+((TODAY() - 'Employee Onboarding'!E295)/365.25)</f>
        <v>3.5044490075290895</v>
      </c>
      <c r="G295" t="s">
        <v>900</v>
      </c>
      <c r="H295" s="2" t="s">
        <v>21</v>
      </c>
      <c r="I295" s="13" t="s">
        <v>22</v>
      </c>
    </row>
    <row r="296" spans="1:9" x14ac:dyDescent="0.3">
      <c r="A296" s="2">
        <v>105507</v>
      </c>
      <c r="B296" t="s">
        <v>901</v>
      </c>
      <c r="C296" t="s">
        <v>902</v>
      </c>
      <c r="D296" t="str">
        <f>_xlfn.CONCAT(Tbl_Emp_Onboarding[[#This Row],[First Name]],".",Tbl_Emp_Onboarding[[#This Row],[Last Name]],"@saregama.com")</f>
        <v>Gasparo.Shelsher@saregama.com</v>
      </c>
      <c r="E296" s="5">
        <v>38659</v>
      </c>
      <c r="F296" s="6">
        <f ca="1">RANDBETWEEN(0,6)+((TODAY() - 'Employee Onboarding'!E296)/365.25)</f>
        <v>17.932238193018481</v>
      </c>
      <c r="G296" t="s">
        <v>903</v>
      </c>
      <c r="H296" s="2" t="s">
        <v>62</v>
      </c>
      <c r="I296" s="13" t="s">
        <v>46</v>
      </c>
    </row>
    <row r="297" spans="1:9" x14ac:dyDescent="0.3">
      <c r="A297" s="2">
        <v>104580</v>
      </c>
      <c r="B297" t="s">
        <v>904</v>
      </c>
      <c r="C297" t="s">
        <v>905</v>
      </c>
      <c r="D297" t="str">
        <f>_xlfn.CONCAT(Tbl_Emp_Onboarding[[#This Row],[First Name]],".",Tbl_Emp_Onboarding[[#This Row],[Last Name]],"@saregama.com")</f>
        <v>Drona.Victor@saregama.com</v>
      </c>
      <c r="E297" s="5">
        <v>32520</v>
      </c>
      <c r="F297" s="6">
        <f ca="1">RANDBETWEEN(0,6)+((TODAY() - 'Employee Onboarding'!E297)/365.25)</f>
        <v>31.739904175222449</v>
      </c>
      <c r="G297" t="s">
        <v>906</v>
      </c>
      <c r="H297" s="2" t="s">
        <v>17</v>
      </c>
      <c r="I297" s="13" t="s">
        <v>42</v>
      </c>
    </row>
    <row r="298" spans="1:9" x14ac:dyDescent="0.3">
      <c r="A298" s="2">
        <v>107535</v>
      </c>
      <c r="B298" t="s">
        <v>907</v>
      </c>
      <c r="C298" t="s">
        <v>908</v>
      </c>
      <c r="D298" t="str">
        <f>_xlfn.CONCAT(Tbl_Emp_Onboarding[[#This Row],[First Name]],".",Tbl_Emp_Onboarding[[#This Row],[Last Name]],"@saregama.com")</f>
        <v>Tommie.Tschursch@saregama.com</v>
      </c>
      <c r="E298" s="5">
        <v>39117</v>
      </c>
      <c r="F298" s="6">
        <f ca="1">RANDBETWEEN(0,6)+((TODAY() - 'Employee Onboarding'!E298)/365.25)</f>
        <v>13.678302532511978</v>
      </c>
      <c r="G298" t="s">
        <v>909</v>
      </c>
      <c r="H298" s="2" t="s">
        <v>62</v>
      </c>
      <c r="I298" s="13" t="s">
        <v>63</v>
      </c>
    </row>
    <row r="299" spans="1:9" x14ac:dyDescent="0.3">
      <c r="A299" s="2">
        <v>104978</v>
      </c>
      <c r="B299" t="s">
        <v>910</v>
      </c>
      <c r="C299" t="s">
        <v>911</v>
      </c>
      <c r="D299" t="str">
        <f>_xlfn.CONCAT(Tbl_Emp_Onboarding[[#This Row],[First Name]],".",Tbl_Emp_Onboarding[[#This Row],[Last Name]],"@saregama.com")</f>
        <v>Kristo.Elvidge@saregama.com</v>
      </c>
      <c r="E299" s="5">
        <v>35484</v>
      </c>
      <c r="F299" s="6">
        <f ca="1">RANDBETWEEN(0,6)+((TODAY() - 'Employee Onboarding'!E299)/365.25)</f>
        <v>26.6249144421629</v>
      </c>
      <c r="G299" t="s">
        <v>912</v>
      </c>
      <c r="H299" s="2" t="s">
        <v>17</v>
      </c>
      <c r="I299" s="13" t="s">
        <v>13</v>
      </c>
    </row>
    <row r="300" spans="1:9" x14ac:dyDescent="0.3">
      <c r="A300" s="2">
        <v>102362</v>
      </c>
      <c r="B300" t="s">
        <v>913</v>
      </c>
      <c r="C300" t="s">
        <v>914</v>
      </c>
      <c r="D300" t="str">
        <f>_xlfn.CONCAT(Tbl_Emp_Onboarding[[#This Row],[First Name]],".",Tbl_Emp_Onboarding[[#This Row],[Last Name]],"@saregama.com")</f>
        <v>Herold.Dawdary@saregama.com</v>
      </c>
      <c r="E300" s="5">
        <v>34495</v>
      </c>
      <c r="F300" s="6">
        <f ca="1">RANDBETWEEN(0,6)+((TODAY() - 'Employee Onboarding'!E300)/365.25)</f>
        <v>31.33264887063655</v>
      </c>
      <c r="G300" t="s">
        <v>915</v>
      </c>
      <c r="H300" s="2" t="s">
        <v>62</v>
      </c>
      <c r="I300" s="13" t="s">
        <v>63</v>
      </c>
    </row>
    <row r="301" spans="1:9" x14ac:dyDescent="0.3">
      <c r="A301" s="2">
        <v>107200</v>
      </c>
      <c r="B301" t="s">
        <v>916</v>
      </c>
      <c r="C301" t="s">
        <v>917</v>
      </c>
      <c r="D301" t="str">
        <f>_xlfn.CONCAT(Tbl_Emp_Onboarding[[#This Row],[First Name]],".",Tbl_Emp_Onboarding[[#This Row],[Last Name]],"@saregama.com")</f>
        <v>Leo.Brookwell@saregama.com</v>
      </c>
      <c r="E301" s="5">
        <v>39595</v>
      </c>
      <c r="F301" s="6">
        <f ca="1">RANDBETWEEN(0,6)+((TODAY() - 'Employee Onboarding'!E301)/365.25)</f>
        <v>17.369609856262834</v>
      </c>
      <c r="G301" t="s">
        <v>918</v>
      </c>
      <c r="H301" s="2" t="s">
        <v>12</v>
      </c>
      <c r="I301" s="15" t="s">
        <v>13</v>
      </c>
    </row>
  </sheetData>
  <phoneticPr fontId="3" type="noConversion"/>
  <conditionalFormatting sqref="A2:A301">
    <cfRule type="duplicateValues" dxfId="42" priority="1"/>
    <cfRule type="duplicateValues" dxfId="41" priority="2"/>
    <cfRule type="duplicateValues" dxfId="40" priority="3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276AB-7435-4A8A-ABDD-4E5BF76AFFEF}">
  <sheetPr codeName="Sheet2"/>
  <dimension ref="A1:V301"/>
  <sheetViews>
    <sheetView topLeftCell="I1" zoomScaleNormal="100" workbookViewId="0">
      <pane ySplit="1" topLeftCell="A2" activePane="bottomLeft" state="frozen"/>
      <selection activeCell="E1" sqref="E1"/>
      <selection pane="bottomLeft" activeCell="M2" sqref="M2"/>
    </sheetView>
  </sheetViews>
  <sheetFormatPr defaultRowHeight="14.55" x14ac:dyDescent="0.3"/>
  <cols>
    <col min="1" max="1" width="11.6640625" style="2" customWidth="1"/>
    <col min="2" max="2" width="12.109375" bestFit="1" customWidth="1"/>
    <col min="3" max="3" width="12" bestFit="1" customWidth="1"/>
    <col min="4" max="4" width="12" customWidth="1"/>
    <col min="5" max="5" width="13.6640625" bestFit="1" customWidth="1"/>
    <col min="6" max="6" width="27.109375" style="4" bestFit="1" customWidth="1"/>
    <col min="7" max="7" width="20.6640625" bestFit="1" customWidth="1"/>
    <col min="8" max="8" width="32.33203125" bestFit="1" customWidth="1"/>
    <col min="9" max="9" width="17.33203125" style="4" bestFit="1" customWidth="1"/>
    <col min="10" max="10" width="27.33203125" style="4" bestFit="1" customWidth="1"/>
    <col min="11" max="11" width="13.6640625" bestFit="1" customWidth="1"/>
    <col min="12" max="12" width="35.6640625" bestFit="1" customWidth="1"/>
    <col min="13" max="13" width="24.88671875" style="6" bestFit="1" customWidth="1"/>
    <col min="15" max="15" width="16" style="4" customWidth="1"/>
    <col min="16" max="16" width="11" customWidth="1"/>
    <col min="17" max="17" width="16" style="4" customWidth="1"/>
    <col min="18" max="18" width="16" customWidth="1"/>
    <col min="19" max="19" width="16" style="8" customWidth="1"/>
    <col min="20" max="20" width="24.109375" style="4" customWidth="1"/>
  </cols>
  <sheetData>
    <row r="1" spans="1:22" s="7" customFormat="1" ht="29.05" x14ac:dyDescent="0.3">
      <c r="A1" s="7" t="s">
        <v>0</v>
      </c>
      <c r="B1" s="7" t="s">
        <v>1</v>
      </c>
      <c r="C1" s="7" t="s">
        <v>2</v>
      </c>
      <c r="D1" s="7" t="s">
        <v>919</v>
      </c>
      <c r="E1" s="7" t="s">
        <v>920</v>
      </c>
      <c r="F1" s="10" t="s">
        <v>921</v>
      </c>
      <c r="G1" s="7" t="s">
        <v>922</v>
      </c>
      <c r="H1" s="7" t="s">
        <v>923</v>
      </c>
      <c r="I1" s="10" t="s">
        <v>924</v>
      </c>
      <c r="J1" s="10" t="s">
        <v>925</v>
      </c>
      <c r="K1" s="7" t="s">
        <v>926</v>
      </c>
      <c r="L1" s="20" t="s">
        <v>927</v>
      </c>
      <c r="M1" s="21" t="s">
        <v>2564</v>
      </c>
      <c r="N1" s="7" t="s">
        <v>928</v>
      </c>
      <c r="O1" s="10" t="s">
        <v>8</v>
      </c>
      <c r="P1" s="20" t="s">
        <v>929</v>
      </c>
      <c r="Q1" s="10" t="s">
        <v>930</v>
      </c>
      <c r="R1" s="10" t="s">
        <v>931</v>
      </c>
      <c r="S1" s="20" t="s">
        <v>932</v>
      </c>
      <c r="T1" s="20" t="s">
        <v>2565</v>
      </c>
    </row>
    <row r="2" spans="1:22" x14ac:dyDescent="0.3">
      <c r="A2" s="2">
        <v>107639</v>
      </c>
      <c r="B2" t="s">
        <v>9</v>
      </c>
      <c r="C2" t="s">
        <v>10</v>
      </c>
      <c r="D2" t="s">
        <v>933</v>
      </c>
      <c r="E2" s="3" t="s">
        <v>934</v>
      </c>
      <c r="F2" s="4" t="s">
        <v>935</v>
      </c>
      <c r="G2" t="s">
        <v>2482</v>
      </c>
      <c r="H2" t="s">
        <v>936</v>
      </c>
      <c r="I2" s="12" t="s">
        <v>937</v>
      </c>
      <c r="J2" s="12" t="s">
        <v>938</v>
      </c>
      <c r="K2" t="s">
        <v>939</v>
      </c>
      <c r="L2" t="str">
        <f>_xlfn.CONCAT(Tbl_Employee_Details[[#This Row],[First Name]],".",Tbl_Employee_Details[[#This Row],[Last Name]],"@saregama.com")</f>
        <v>Irwinn.Elfe@saregama.com</v>
      </c>
      <c r="M2" s="6">
        <f ca="1">(TODAY() - 'Employee Onboarding'!E2)/365.25</f>
        <v>31.310061601642712</v>
      </c>
      <c r="N2">
        <v>155968</v>
      </c>
      <c r="O2" s="13" t="s">
        <v>13</v>
      </c>
      <c r="P2" s="6">
        <f ca="1">YEARFRAC(Tbl_Employee_Details[[#This Row],[Date of Birth]],TODAY())</f>
        <v>44.68611111111111</v>
      </c>
      <c r="Q2" s="13" t="s">
        <v>940</v>
      </c>
      <c r="R2" s="2" t="s">
        <v>941</v>
      </c>
      <c r="S2" s="11" t="str">
        <f>IF(ISNA(VLOOKUP(A2,Tbl_Exit_Formalities[Employee ID],1,FALSE)), "No", "Yes")</f>
        <v>No</v>
      </c>
      <c r="T2" s="22">
        <f ca="1">Tbl_Employee_Details[[#This Row],[Experience in SAREGAMA]]/((SUMIFS(Tbl_Employee_Details[Experience in SAREGAMA],Tbl_Employee_Details[Department],Tbl_Employee_Details[[#This Row],[Department]])))</f>
        <v>0.10102741238725407</v>
      </c>
    </row>
    <row r="3" spans="1:22" x14ac:dyDescent="0.3">
      <c r="A3" s="2">
        <v>108675</v>
      </c>
      <c r="B3" t="s">
        <v>14</v>
      </c>
      <c r="C3" t="s">
        <v>15</v>
      </c>
      <c r="D3" t="s">
        <v>933</v>
      </c>
      <c r="E3" s="3" t="s">
        <v>942</v>
      </c>
      <c r="F3" s="4" t="s">
        <v>943</v>
      </c>
      <c r="G3" t="s">
        <v>2483</v>
      </c>
      <c r="H3" t="s">
        <v>944</v>
      </c>
      <c r="I3" s="12" t="s">
        <v>945</v>
      </c>
      <c r="J3" s="12" t="s">
        <v>946</v>
      </c>
      <c r="K3" t="s">
        <v>947</v>
      </c>
      <c r="L3" t="str">
        <f>_xlfn.CONCAT(Tbl_Employee_Details[[#This Row],[First Name]],".",Tbl_Employee_Details[[#This Row],[Last Name]],"@saregama.com")</f>
        <v>Sibyl.Orvis@saregama.com</v>
      </c>
      <c r="M3" s="6">
        <f ca="1">(TODAY() - 'Employee Onboarding'!E3)/365.25</f>
        <v>7.4907597535934292</v>
      </c>
      <c r="N3">
        <v>185194</v>
      </c>
      <c r="O3" s="13" t="s">
        <v>13</v>
      </c>
      <c r="P3" s="6">
        <f ca="1">YEARFRAC(Tbl_Employee_Details[[#This Row],[Date of Birth]],TODAY())</f>
        <v>18.386111111111113</v>
      </c>
      <c r="Q3" s="13" t="s">
        <v>948</v>
      </c>
      <c r="R3" s="2" t="s">
        <v>949</v>
      </c>
      <c r="S3" s="11" t="str">
        <f>IF(ISNA(VLOOKUP(A3,Tbl_Exit_Formalities[Employee ID],1,FALSE)), "No", "Yes")</f>
        <v>No</v>
      </c>
      <c r="T3" s="22">
        <f ca="1">Tbl_Employee_Details[[#This Row],[Experience in SAREGAMA]]/((SUMIFS(Tbl_Employee_Details[Experience in SAREGAMA],Tbl_Employee_Details[Department],Tbl_Employee_Details[[#This Row],[Department]])))</f>
        <v>1.9258112198212152E-2</v>
      </c>
    </row>
    <row r="4" spans="1:22" x14ac:dyDescent="0.3">
      <c r="A4" s="2">
        <v>103679</v>
      </c>
      <c r="B4" t="s">
        <v>18</v>
      </c>
      <c r="C4" t="s">
        <v>19</v>
      </c>
      <c r="D4" t="s">
        <v>950</v>
      </c>
      <c r="E4" s="3" t="s">
        <v>951</v>
      </c>
      <c r="F4" s="4" t="s">
        <v>952</v>
      </c>
      <c r="G4" t="s">
        <v>2484</v>
      </c>
      <c r="H4" t="s">
        <v>953</v>
      </c>
      <c r="I4" s="12" t="s">
        <v>954</v>
      </c>
      <c r="J4" s="12" t="s">
        <v>955</v>
      </c>
      <c r="K4" t="s">
        <v>956</v>
      </c>
      <c r="L4" t="str">
        <f>_xlfn.CONCAT(Tbl_Employee_Details[[#This Row],[First Name]],".",Tbl_Employee_Details[[#This Row],[Last Name]],"@saregama.com")</f>
        <v>Paule.Fernandes@saregama.com</v>
      </c>
      <c r="M4" s="6">
        <f ca="1">(TODAY() - 'Employee Onboarding'!E4)/365.25</f>
        <v>1.4565366187542779</v>
      </c>
      <c r="N4">
        <v>406028</v>
      </c>
      <c r="O4" s="13" t="s">
        <v>22</v>
      </c>
      <c r="P4" s="6">
        <f ca="1">YEARFRAC(Tbl_Employee_Details[[#This Row],[Date of Birth]],TODAY())</f>
        <v>24.194444444444443</v>
      </c>
      <c r="Q4" s="13" t="s">
        <v>957</v>
      </c>
      <c r="R4" s="2" t="s">
        <v>958</v>
      </c>
      <c r="S4" s="11" t="str">
        <f>IF(ISNA(VLOOKUP(A4,Tbl_Exit_Formalities[Employee ID],1,FALSE)), "No", "Yes")</f>
        <v>No</v>
      </c>
      <c r="T4" s="22">
        <f ca="1">Tbl_Employee_Details[[#This Row],[Experience in SAREGAMA]]/((SUMIFS(Tbl_Employee_Details[Experience in SAREGAMA],Tbl_Employee_Details[Department],Tbl_Employee_Details[[#This Row],[Department]])))</f>
        <v>9.6878755872819317E-3</v>
      </c>
    </row>
    <row r="5" spans="1:22" x14ac:dyDescent="0.3">
      <c r="A5" s="2">
        <v>104511</v>
      </c>
      <c r="B5" t="s">
        <v>23</v>
      </c>
      <c r="C5" t="s">
        <v>24</v>
      </c>
      <c r="D5" t="s">
        <v>933</v>
      </c>
      <c r="E5" s="3" t="s">
        <v>959</v>
      </c>
      <c r="F5" s="4" t="s">
        <v>960</v>
      </c>
      <c r="G5" t="s">
        <v>2485</v>
      </c>
      <c r="H5" t="s">
        <v>961</v>
      </c>
      <c r="I5" s="12" t="s">
        <v>962</v>
      </c>
      <c r="J5" s="12" t="s">
        <v>963</v>
      </c>
      <c r="K5" t="s">
        <v>947</v>
      </c>
      <c r="L5" t="str">
        <f>_xlfn.CONCAT(Tbl_Employee_Details[[#This Row],[First Name]],".",Tbl_Employee_Details[[#This Row],[Last Name]],"@saregama.com")</f>
        <v>Paul.Testo@saregama.com</v>
      </c>
      <c r="M5" s="6">
        <f ca="1">(TODAY() - 'Employee Onboarding'!E5)/365.25</f>
        <v>7.6194387405886381</v>
      </c>
      <c r="N5">
        <v>482626</v>
      </c>
      <c r="O5" s="13" t="s">
        <v>22</v>
      </c>
      <c r="P5" s="6">
        <f ca="1">YEARFRAC(Tbl_Employee_Details[[#This Row],[Date of Birth]],TODAY())</f>
        <v>24.558333333333334</v>
      </c>
      <c r="Q5" s="13" t="s">
        <v>964</v>
      </c>
      <c r="R5" s="2" t="s">
        <v>965</v>
      </c>
      <c r="S5" s="11" t="str">
        <f>IF(ISNA(VLOOKUP(A5,Tbl_Exit_Formalities[Employee ID],1,FALSE)), "No", "Yes")</f>
        <v>No</v>
      </c>
      <c r="T5" s="22">
        <f ca="1">Tbl_Employee_Details[[#This Row],[Experience in SAREGAMA]]/((SUMIFS(Tbl_Employee_Details[Experience in SAREGAMA],Tbl_Employee_Details[Department],Tbl_Employee_Details[[#This Row],[Department]])))</f>
        <v>2.1546251277445725E-2</v>
      </c>
      <c r="V5" s="23"/>
    </row>
    <row r="6" spans="1:22" x14ac:dyDescent="0.3">
      <c r="A6" s="2">
        <v>105511</v>
      </c>
      <c r="B6" t="s">
        <v>26</v>
      </c>
      <c r="C6" t="s">
        <v>27</v>
      </c>
      <c r="D6" t="s">
        <v>950</v>
      </c>
      <c r="E6" s="3" t="s">
        <v>966</v>
      </c>
      <c r="F6" s="4" t="s">
        <v>967</v>
      </c>
      <c r="G6" t="s">
        <v>2486</v>
      </c>
      <c r="H6" t="s">
        <v>968</v>
      </c>
      <c r="I6" s="12" t="s">
        <v>969</v>
      </c>
      <c r="J6" s="12" t="s">
        <v>970</v>
      </c>
      <c r="K6" t="s">
        <v>956</v>
      </c>
      <c r="L6" t="str">
        <f>_xlfn.CONCAT(Tbl_Employee_Details[[#This Row],[First Name]],".",Tbl_Employee_Details[[#This Row],[Last Name]],"@saregama.com")</f>
        <v>Maude.Bollins@saregama.com</v>
      </c>
      <c r="M6" s="6">
        <f ca="1">(TODAY() - 'Employee Onboarding'!E6)/365.25</f>
        <v>17.382614647501711</v>
      </c>
      <c r="N6">
        <v>392022</v>
      </c>
      <c r="O6" s="13" t="s">
        <v>22</v>
      </c>
      <c r="P6" s="6">
        <f ca="1">YEARFRAC(Tbl_Employee_Details[[#This Row],[Date of Birth]],TODAY())</f>
        <v>40.700000000000003</v>
      </c>
      <c r="Q6" s="13" t="s">
        <v>957</v>
      </c>
      <c r="R6" s="2" t="s">
        <v>965</v>
      </c>
      <c r="S6" s="11" t="str">
        <f>IF(ISNA(VLOOKUP(A6,Tbl_Exit_Formalities[Employee ID],1,FALSE)), "No", "Yes")</f>
        <v>No</v>
      </c>
      <c r="T6" s="22">
        <f ca="1">Tbl_Employee_Details[[#This Row],[Experience in SAREGAMA]]/((SUMIFS(Tbl_Employee_Details[Experience in SAREGAMA],Tbl_Employee_Details[Department],Tbl_Employee_Details[[#This Row],[Department]])))</f>
        <v>0.11561714681137779</v>
      </c>
    </row>
    <row r="7" spans="1:22" x14ac:dyDescent="0.3">
      <c r="A7" s="2">
        <v>103147</v>
      </c>
      <c r="B7" t="s">
        <v>29</v>
      </c>
      <c r="C7" t="s">
        <v>30</v>
      </c>
      <c r="D7" t="s">
        <v>950</v>
      </c>
      <c r="E7" s="3" t="s">
        <v>971</v>
      </c>
      <c r="F7" s="4" t="s">
        <v>972</v>
      </c>
      <c r="G7" t="s">
        <v>2487</v>
      </c>
      <c r="H7" t="s">
        <v>973</v>
      </c>
      <c r="I7" s="12" t="s">
        <v>974</v>
      </c>
      <c r="J7" s="12" t="s">
        <v>975</v>
      </c>
      <c r="K7" t="s">
        <v>939</v>
      </c>
      <c r="L7" t="str">
        <f>_xlfn.CONCAT(Tbl_Employee_Details[[#This Row],[First Name]],".",Tbl_Employee_Details[[#This Row],[Last Name]],"@saregama.com")</f>
        <v>Georgeanna.Dowsing@saregama.com</v>
      </c>
      <c r="M7" s="6">
        <f ca="1">(TODAY() - 'Employee Onboarding'!E7)/365.25</f>
        <v>12.659822039698836</v>
      </c>
      <c r="N7">
        <v>383983</v>
      </c>
      <c r="O7" s="13" t="s">
        <v>22</v>
      </c>
      <c r="P7" s="6">
        <f ca="1">YEARFRAC(Tbl_Employee_Details[[#This Row],[Date of Birth]],TODAY())</f>
        <v>29.447222222222223</v>
      </c>
      <c r="Q7" s="13" t="s">
        <v>976</v>
      </c>
      <c r="R7" s="2" t="s">
        <v>977</v>
      </c>
      <c r="S7" s="11" t="str">
        <f>IF(ISNA(VLOOKUP(A7,Tbl_Exit_Formalities[Employee ID],1,FALSE)), "No", "Yes")</f>
        <v>No</v>
      </c>
      <c r="T7" s="22">
        <f ca="1">Tbl_Employee_Details[[#This Row],[Experience in SAREGAMA]]/((SUMIFS(Tbl_Employee_Details[Experience in SAREGAMA],Tbl_Employee_Details[Department],Tbl_Employee_Details[[#This Row],[Department]])))</f>
        <v>4.3237177988685774E-2</v>
      </c>
    </row>
    <row r="8" spans="1:22" x14ac:dyDescent="0.3">
      <c r="A8" s="2">
        <v>103794</v>
      </c>
      <c r="B8" t="s">
        <v>32</v>
      </c>
      <c r="C8" t="s">
        <v>33</v>
      </c>
      <c r="D8" t="s">
        <v>933</v>
      </c>
      <c r="E8" s="3" t="s">
        <v>978</v>
      </c>
      <c r="F8" s="4" t="s">
        <v>979</v>
      </c>
      <c r="G8" t="s">
        <v>2486</v>
      </c>
      <c r="H8" t="s">
        <v>980</v>
      </c>
      <c r="I8" s="12" t="s">
        <v>981</v>
      </c>
      <c r="J8" s="12" t="s">
        <v>982</v>
      </c>
      <c r="K8" t="s">
        <v>983</v>
      </c>
      <c r="L8" t="str">
        <f>_xlfn.CONCAT(Tbl_Employee_Details[[#This Row],[First Name]],".",Tbl_Employee_Details[[#This Row],[Last Name]],"@saregama.com")</f>
        <v>Shelley.Linzee@saregama.com</v>
      </c>
      <c r="M8" s="6">
        <f ca="1">(TODAY() - 'Employee Onboarding'!E8)/365.25</f>
        <v>10.789869952087612</v>
      </c>
      <c r="N8">
        <v>293922</v>
      </c>
      <c r="O8" s="13" t="s">
        <v>35</v>
      </c>
      <c r="P8" s="6">
        <f ca="1">YEARFRAC(Tbl_Employee_Details[[#This Row],[Date of Birth]],TODAY())</f>
        <v>36.075000000000003</v>
      </c>
      <c r="Q8" s="13" t="s">
        <v>957</v>
      </c>
      <c r="R8" s="2" t="s">
        <v>941</v>
      </c>
      <c r="S8" s="11" t="str">
        <f>IF(ISNA(VLOOKUP(A8,Tbl_Exit_Formalities[Employee ID],1,FALSE)), "No", "Yes")</f>
        <v>No</v>
      </c>
      <c r="T8" s="22">
        <f ca="1">Tbl_Employee_Details[[#This Row],[Experience in SAREGAMA]]/((SUMIFS(Tbl_Employee_Details[Experience in SAREGAMA],Tbl_Employee_Details[Department],Tbl_Employee_Details[[#This Row],[Department]])))</f>
        <v>7.1766762574206944E-2</v>
      </c>
    </row>
    <row r="9" spans="1:22" x14ac:dyDescent="0.3">
      <c r="A9" s="2">
        <v>103793</v>
      </c>
      <c r="B9" t="s">
        <v>36</v>
      </c>
      <c r="C9" t="s">
        <v>37</v>
      </c>
      <c r="D9" t="s">
        <v>950</v>
      </c>
      <c r="E9" s="3" t="s">
        <v>984</v>
      </c>
      <c r="F9" s="4" t="s">
        <v>985</v>
      </c>
      <c r="G9" t="s">
        <v>2488</v>
      </c>
      <c r="H9" t="s">
        <v>986</v>
      </c>
      <c r="I9" s="12" t="s">
        <v>987</v>
      </c>
      <c r="J9" s="12" t="s">
        <v>988</v>
      </c>
      <c r="K9" t="s">
        <v>989</v>
      </c>
      <c r="L9" t="str">
        <f>_xlfn.CONCAT(Tbl_Employee_Details[[#This Row],[First Name]],".",Tbl_Employee_Details[[#This Row],[Last Name]],"@saregama.com")</f>
        <v>Stevena.Hartfield@saregama.com</v>
      </c>
      <c r="M9" s="6">
        <f ca="1">(TODAY() - 'Employee Onboarding'!E9)/365.25</f>
        <v>10.718685831622176</v>
      </c>
      <c r="N9">
        <v>91925</v>
      </c>
      <c r="O9" s="13" t="s">
        <v>13</v>
      </c>
      <c r="P9" s="6">
        <f ca="1">YEARFRAC(Tbl_Employee_Details[[#This Row],[Date of Birth]],TODAY())</f>
        <v>22.588888888888889</v>
      </c>
      <c r="Q9" s="13" t="s">
        <v>990</v>
      </c>
      <c r="R9" s="2" t="s">
        <v>949</v>
      </c>
      <c r="S9" s="11" t="str">
        <f>IF(ISNA(VLOOKUP(A9,Tbl_Exit_Formalities[Employee ID],1,FALSE)), "No", "Yes")</f>
        <v>No</v>
      </c>
      <c r="T9" s="22">
        <f ca="1">Tbl_Employee_Details[[#This Row],[Experience in SAREGAMA]]/((SUMIFS(Tbl_Employee_Details[Experience in SAREGAMA],Tbl_Employee_Details[Department],Tbl_Employee_Details[[#This Row],[Department]])))</f>
        <v>7.9455924793901678E-3</v>
      </c>
    </row>
    <row r="10" spans="1:22" x14ac:dyDescent="0.3">
      <c r="A10" s="2">
        <v>107878</v>
      </c>
      <c r="B10" t="s">
        <v>39</v>
      </c>
      <c r="C10" t="s">
        <v>40</v>
      </c>
      <c r="D10" t="s">
        <v>950</v>
      </c>
      <c r="E10" s="3" t="s">
        <v>991</v>
      </c>
      <c r="F10" s="4" t="s">
        <v>992</v>
      </c>
      <c r="G10" t="s">
        <v>2489</v>
      </c>
      <c r="H10" t="s">
        <v>993</v>
      </c>
      <c r="I10" s="12" t="s">
        <v>994</v>
      </c>
      <c r="J10" s="12" t="s">
        <v>995</v>
      </c>
      <c r="K10" t="s">
        <v>947</v>
      </c>
      <c r="L10" t="str">
        <f>_xlfn.CONCAT(Tbl_Employee_Details[[#This Row],[First Name]],".",Tbl_Employee_Details[[#This Row],[Last Name]],"@saregama.com")</f>
        <v>Jobie.Craggs@saregama.com</v>
      </c>
      <c r="M10" s="6">
        <f ca="1">(TODAY() - 'Employee Onboarding'!E10)/365.25</f>
        <v>20.060232717316907</v>
      </c>
      <c r="N10">
        <v>175165</v>
      </c>
      <c r="O10" s="13" t="s">
        <v>42</v>
      </c>
      <c r="P10" s="6">
        <f ca="1">YEARFRAC(Tbl_Employee_Details[[#This Row],[Date of Birth]],TODAY())</f>
        <v>27.080555555555556</v>
      </c>
      <c r="Q10" s="13" t="s">
        <v>990</v>
      </c>
      <c r="R10" s="2" t="s">
        <v>996</v>
      </c>
      <c r="S10" s="11" t="str">
        <f>IF(ISNA(VLOOKUP(A10,Tbl_Exit_Formalities[Employee ID],1,FALSE)), "No", "Yes")</f>
        <v>No</v>
      </c>
      <c r="T10" s="22">
        <f ca="1">Tbl_Employee_Details[[#This Row],[Experience in SAREGAMA]]/((SUMIFS(Tbl_Employee_Details[Experience in SAREGAMA],Tbl_Employee_Details[Department],Tbl_Employee_Details[[#This Row],[Department]])))</f>
        <v>1.4870333613407857E-2</v>
      </c>
    </row>
    <row r="11" spans="1:22" x14ac:dyDescent="0.3">
      <c r="A11" s="2">
        <v>106180</v>
      </c>
      <c r="B11" t="s">
        <v>43</v>
      </c>
      <c r="C11" t="s">
        <v>44</v>
      </c>
      <c r="D11" t="s">
        <v>950</v>
      </c>
      <c r="E11" s="3" t="s">
        <v>997</v>
      </c>
      <c r="F11" s="4" t="s">
        <v>998</v>
      </c>
      <c r="G11" t="s">
        <v>2490</v>
      </c>
      <c r="H11" t="s">
        <v>999</v>
      </c>
      <c r="I11" s="12" t="s">
        <v>1000</v>
      </c>
      <c r="J11" s="12" t="s">
        <v>1001</v>
      </c>
      <c r="K11" t="s">
        <v>983</v>
      </c>
      <c r="L11" t="str">
        <f>_xlfn.CONCAT(Tbl_Employee_Details[[#This Row],[First Name]],".",Tbl_Employee_Details[[#This Row],[Last Name]],"@saregama.com")</f>
        <v>Ellen.Pirrone@saregama.com</v>
      </c>
      <c r="M11" s="6">
        <f ca="1">(TODAY() - 'Employee Onboarding'!E11)/365.25</f>
        <v>24.199863107460644</v>
      </c>
      <c r="N11">
        <v>182108</v>
      </c>
      <c r="O11" s="13" t="s">
        <v>46</v>
      </c>
      <c r="P11" s="6">
        <f ca="1">YEARFRAC(Tbl_Employee_Details[[#This Row],[Date of Birth]],TODAY())</f>
        <v>30.625</v>
      </c>
      <c r="Q11" s="13" t="s">
        <v>990</v>
      </c>
      <c r="R11" s="2" t="s">
        <v>1002</v>
      </c>
      <c r="S11" s="11" t="str">
        <f>IF(ISNA(VLOOKUP(A11,Tbl_Exit_Formalities[Employee ID],1,FALSE)), "No", "Yes")</f>
        <v>No</v>
      </c>
      <c r="T11" s="22">
        <f ca="1">Tbl_Employee_Details[[#This Row],[Experience in SAREGAMA]]/((SUMIFS(Tbl_Employee_Details[Experience in SAREGAMA],Tbl_Employee_Details[Department],Tbl_Employee_Details[[#This Row],[Department]])))</f>
        <v>1.7938976226137854E-2</v>
      </c>
    </row>
    <row r="12" spans="1:22" x14ac:dyDescent="0.3">
      <c r="A12" s="2">
        <v>103076</v>
      </c>
      <c r="B12" t="s">
        <v>47</v>
      </c>
      <c r="C12" t="s">
        <v>48</v>
      </c>
      <c r="D12" t="s">
        <v>950</v>
      </c>
      <c r="E12" s="3" t="s">
        <v>1003</v>
      </c>
      <c r="F12" s="4" t="s">
        <v>1004</v>
      </c>
      <c r="G12" t="s">
        <v>2482</v>
      </c>
      <c r="H12" t="s">
        <v>1005</v>
      </c>
      <c r="I12" s="12" t="s">
        <v>1006</v>
      </c>
      <c r="J12" s="12" t="s">
        <v>1007</v>
      </c>
      <c r="K12" t="s">
        <v>939</v>
      </c>
      <c r="L12" t="str">
        <f>_xlfn.CONCAT(Tbl_Employee_Details[[#This Row],[First Name]],".",Tbl_Employee_Details[[#This Row],[Last Name]],"@saregama.com")</f>
        <v>Karrah.Steptowe@saregama.com</v>
      </c>
      <c r="M12" s="6">
        <f ca="1">(TODAY() - 'Employee Onboarding'!E12)/365.25</f>
        <v>12.629705681040383</v>
      </c>
      <c r="N12">
        <v>1223664</v>
      </c>
      <c r="O12" s="13" t="s">
        <v>51</v>
      </c>
      <c r="P12" s="6">
        <f ca="1">YEARFRAC(Tbl_Employee_Details[[#This Row],[Date of Birth]],TODAY())</f>
        <v>44.3</v>
      </c>
      <c r="Q12" s="13" t="s">
        <v>957</v>
      </c>
      <c r="R12" s="2" t="s">
        <v>977</v>
      </c>
      <c r="S12" s="11" t="str">
        <f>IF(ISNA(VLOOKUP(A12,Tbl_Exit_Formalities[Employee ID],1,FALSE)), "No", "Yes")</f>
        <v>Yes</v>
      </c>
      <c r="T12" s="22">
        <f ca="1">Tbl_Employee_Details[[#This Row],[Experience in SAREGAMA]]/((SUMIFS(Tbl_Employee_Details[Experience in SAREGAMA],Tbl_Employee_Details[Department],Tbl_Employee_Details[[#This Row],[Department]])))</f>
        <v>8.4004079105510429E-2</v>
      </c>
    </row>
    <row r="13" spans="1:22" x14ac:dyDescent="0.3">
      <c r="A13" s="2">
        <v>107162</v>
      </c>
      <c r="B13" t="s">
        <v>52</v>
      </c>
      <c r="C13" t="s">
        <v>53</v>
      </c>
      <c r="D13" t="s">
        <v>950</v>
      </c>
      <c r="E13" s="3" t="s">
        <v>1008</v>
      </c>
      <c r="F13" s="4" t="s">
        <v>1009</v>
      </c>
      <c r="G13" t="s">
        <v>2491</v>
      </c>
      <c r="H13" t="s">
        <v>1010</v>
      </c>
      <c r="I13" s="12" t="s">
        <v>1011</v>
      </c>
      <c r="J13" s="12" t="s">
        <v>1012</v>
      </c>
      <c r="K13" t="s">
        <v>1013</v>
      </c>
      <c r="L13" t="str">
        <f>_xlfn.CONCAT(Tbl_Employee_Details[[#This Row],[First Name]],".",Tbl_Employee_Details[[#This Row],[Last Name]],"@saregama.com")</f>
        <v>Griselda.Girardini@saregama.com</v>
      </c>
      <c r="M13" s="6">
        <f ca="1">(TODAY() - 'Employee Onboarding'!E13)/365.25</f>
        <v>3.2032854209445585</v>
      </c>
      <c r="N13">
        <v>361653</v>
      </c>
      <c r="O13" s="13" t="s">
        <v>22</v>
      </c>
      <c r="P13" s="6">
        <f ca="1">YEARFRAC(Tbl_Employee_Details[[#This Row],[Date of Birth]],TODAY())</f>
        <v>30.155555555555555</v>
      </c>
      <c r="Q13" s="13" t="s">
        <v>990</v>
      </c>
      <c r="R13" s="2" t="s">
        <v>958</v>
      </c>
      <c r="S13" s="11" t="str">
        <f>IF(ISNA(VLOOKUP(A13,Tbl_Exit_Formalities[Employee ID],1,FALSE)), "No", "Yes")</f>
        <v>No</v>
      </c>
      <c r="T13" s="22">
        <f ca="1">Tbl_Employee_Details[[#This Row],[Experience in SAREGAMA]]/((SUMIFS(Tbl_Employee_Details[Experience in SAREGAMA],Tbl_Employee_Details[Department],Tbl_Employee_Details[[#This Row],[Department]])))</f>
        <v>2.3745448788982109E-3</v>
      </c>
    </row>
    <row r="14" spans="1:22" x14ac:dyDescent="0.3">
      <c r="A14" s="2">
        <v>106100</v>
      </c>
      <c r="B14" t="s">
        <v>56</v>
      </c>
      <c r="C14" t="s">
        <v>57</v>
      </c>
      <c r="D14" t="s">
        <v>933</v>
      </c>
      <c r="E14" s="3" t="s">
        <v>1014</v>
      </c>
      <c r="F14" s="4" t="s">
        <v>1015</v>
      </c>
      <c r="G14" t="s">
        <v>2492</v>
      </c>
      <c r="H14" t="s">
        <v>1016</v>
      </c>
      <c r="I14" s="12" t="s">
        <v>1017</v>
      </c>
      <c r="J14" s="12" t="s">
        <v>1018</v>
      </c>
      <c r="K14" t="s">
        <v>989</v>
      </c>
      <c r="L14" t="str">
        <f>_xlfn.CONCAT(Tbl_Employee_Details[[#This Row],[First Name]],".",Tbl_Employee_Details[[#This Row],[Last Name]],"@saregama.com")</f>
        <v>Andrea.Milesap@saregama.com</v>
      </c>
      <c r="M14" s="6">
        <f ca="1">(TODAY() - 'Employee Onboarding'!E14)/365.25</f>
        <v>2.751540041067762</v>
      </c>
      <c r="N14">
        <v>421496</v>
      </c>
      <c r="O14" s="13" t="s">
        <v>22</v>
      </c>
      <c r="P14" s="6">
        <f ca="1">YEARFRAC(Tbl_Employee_Details[[#This Row],[Date of Birth]],TODAY())</f>
        <v>31.216666666666665</v>
      </c>
      <c r="Q14" s="13" t="s">
        <v>990</v>
      </c>
      <c r="R14" s="2" t="s">
        <v>1019</v>
      </c>
      <c r="S14" s="11" t="str">
        <f>IF(ISNA(VLOOKUP(A14,Tbl_Exit_Formalities[Employee ID],1,FALSE)), "No", "Yes")</f>
        <v>No</v>
      </c>
      <c r="T14" s="22">
        <f ca="1">Tbl_Employee_Details[[#This Row],[Experience in SAREGAMA]]/((SUMIFS(Tbl_Employee_Details[Experience in SAREGAMA],Tbl_Employee_Details[Department],Tbl_Employee_Details[[#This Row],[Department]])))</f>
        <v>2.0396731652074377E-3</v>
      </c>
    </row>
    <row r="15" spans="1:22" x14ac:dyDescent="0.3">
      <c r="A15" s="2">
        <v>103241</v>
      </c>
      <c r="B15" t="s">
        <v>59</v>
      </c>
      <c r="C15" t="s">
        <v>60</v>
      </c>
      <c r="D15" t="s">
        <v>950</v>
      </c>
      <c r="E15" s="3" t="s">
        <v>1020</v>
      </c>
      <c r="F15" s="4" t="s">
        <v>1021</v>
      </c>
      <c r="G15" t="s">
        <v>2493</v>
      </c>
      <c r="H15" t="s">
        <v>1022</v>
      </c>
      <c r="I15" s="12" t="s">
        <v>1023</v>
      </c>
      <c r="J15" s="12" t="s">
        <v>1024</v>
      </c>
      <c r="K15" t="s">
        <v>947</v>
      </c>
      <c r="L15" t="str">
        <f>_xlfn.CONCAT(Tbl_Employee_Details[[#This Row],[First Name]],".",Tbl_Employee_Details[[#This Row],[Last Name]],"@saregama.com")</f>
        <v>Babara.Morrall@saregama.com</v>
      </c>
      <c r="M15" s="6">
        <f ca="1">(TODAY() - 'Employee Onboarding'!E15)/365.25</f>
        <v>31.5564681724846</v>
      </c>
      <c r="N15">
        <v>753669</v>
      </c>
      <c r="O15" s="13" t="s">
        <v>63</v>
      </c>
      <c r="P15" s="6">
        <f ca="1">YEARFRAC(Tbl_Employee_Details[[#This Row],[Date of Birth]],TODAY())</f>
        <v>39.286111111111111</v>
      </c>
      <c r="Q15" s="13" t="s">
        <v>957</v>
      </c>
      <c r="R15" s="2" t="s">
        <v>958</v>
      </c>
      <c r="S15" s="11" t="str">
        <f>IF(ISNA(VLOOKUP(A15,Tbl_Exit_Formalities[Employee ID],1,FALSE)), "No", "Yes")</f>
        <v>No</v>
      </c>
      <c r="T15" s="22">
        <f ca="1">Tbl_Employee_Details[[#This Row],[Experience in SAREGAMA]]/((SUMIFS(Tbl_Employee_Details[Experience in SAREGAMA],Tbl_Employee_Details[Department],Tbl_Employee_Details[[#This Row],[Department]])))</f>
        <v>0.20989183086280366</v>
      </c>
    </row>
    <row r="16" spans="1:22" x14ac:dyDescent="0.3">
      <c r="A16" s="2">
        <v>107986</v>
      </c>
      <c r="B16" t="s">
        <v>64</v>
      </c>
      <c r="C16" t="s">
        <v>65</v>
      </c>
      <c r="D16" t="s">
        <v>950</v>
      </c>
      <c r="E16" s="3" t="s">
        <v>1025</v>
      </c>
      <c r="F16" s="4" t="s">
        <v>1026</v>
      </c>
      <c r="G16" t="s">
        <v>2494</v>
      </c>
      <c r="H16" t="s">
        <v>1027</v>
      </c>
      <c r="I16" s="12" t="s">
        <v>1028</v>
      </c>
      <c r="J16" s="12" t="s">
        <v>1029</v>
      </c>
      <c r="K16" t="s">
        <v>939</v>
      </c>
      <c r="L16" t="str">
        <f>_xlfn.CONCAT(Tbl_Employee_Details[[#This Row],[First Name]],".",Tbl_Employee_Details[[#This Row],[Last Name]],"@saregama.com")</f>
        <v>Miran.Vasovic@saregama.com</v>
      </c>
      <c r="M16" s="6">
        <f ca="1">(TODAY() - 'Employee Onboarding'!E16)/365.25</f>
        <v>11.655030800821356</v>
      </c>
      <c r="N16">
        <v>419398</v>
      </c>
      <c r="O16" s="13" t="s">
        <v>22</v>
      </c>
      <c r="P16" s="6">
        <f ca="1">YEARFRAC(Tbl_Employee_Details[[#This Row],[Date of Birth]],TODAY())</f>
        <v>28.06111111111111</v>
      </c>
      <c r="Q16" s="13" t="s">
        <v>990</v>
      </c>
      <c r="R16" s="2" t="s">
        <v>1019</v>
      </c>
      <c r="S16" s="11" t="str">
        <f>IF(ISNA(VLOOKUP(A16,Tbl_Exit_Formalities[Employee ID],1,FALSE)), "No", "Yes")</f>
        <v>No</v>
      </c>
      <c r="T16" s="22">
        <f ca="1">Tbl_Employee_Details[[#This Row],[Experience in SAREGAMA]]/((SUMIFS(Tbl_Employee_Details[Experience in SAREGAMA],Tbl_Employee_Details[Department],Tbl_Employee_Details[[#This Row],[Department]])))</f>
        <v>8.6396902132219525E-3</v>
      </c>
    </row>
    <row r="17" spans="1:20" x14ac:dyDescent="0.3">
      <c r="A17" s="2">
        <v>104923</v>
      </c>
      <c r="B17" t="s">
        <v>67</v>
      </c>
      <c r="C17" t="s">
        <v>68</v>
      </c>
      <c r="D17" t="s">
        <v>950</v>
      </c>
      <c r="E17" s="3" t="s">
        <v>1030</v>
      </c>
      <c r="F17" s="4" t="s">
        <v>1031</v>
      </c>
      <c r="G17" t="s">
        <v>2495</v>
      </c>
      <c r="H17" t="s">
        <v>1032</v>
      </c>
      <c r="I17" s="12" t="s">
        <v>1033</v>
      </c>
      <c r="J17" s="12" t="s">
        <v>1034</v>
      </c>
      <c r="K17" t="s">
        <v>939</v>
      </c>
      <c r="L17" t="str">
        <f>_xlfn.CONCAT(Tbl_Employee_Details[[#This Row],[First Name]],".",Tbl_Employee_Details[[#This Row],[Last Name]],"@saregama.com")</f>
        <v>Sharity.Fyldes@saregama.com</v>
      </c>
      <c r="M17" s="6">
        <f ca="1">(TODAY() - 'Employee Onboarding'!E17)/365.25</f>
        <v>7.4579055441478443</v>
      </c>
      <c r="N17">
        <v>160344</v>
      </c>
      <c r="O17" s="13" t="s">
        <v>13</v>
      </c>
      <c r="P17" s="6">
        <f ca="1">YEARFRAC(Tbl_Employee_Details[[#This Row],[Date of Birth]],TODAY())</f>
        <v>20.072222222222223</v>
      </c>
      <c r="Q17" s="13" t="s">
        <v>990</v>
      </c>
      <c r="R17" s="2" t="s">
        <v>958</v>
      </c>
      <c r="S17" s="11" t="str">
        <f>IF(ISNA(VLOOKUP(A17,Tbl_Exit_Formalities[Employee ID],1,FALSE)), "No", "Yes")</f>
        <v>No</v>
      </c>
      <c r="T17" s="22">
        <f ca="1">Tbl_Employee_Details[[#This Row],[Experience in SAREGAMA]]/((SUMIFS(Tbl_Employee_Details[Experience in SAREGAMA],Tbl_Employee_Details[Department],Tbl_Employee_Details[[#This Row],[Department]])))</f>
        <v>5.5284275642040401E-3</v>
      </c>
    </row>
    <row r="18" spans="1:20" x14ac:dyDescent="0.3">
      <c r="A18" s="2">
        <v>102355</v>
      </c>
      <c r="B18" t="s">
        <v>70</v>
      </c>
      <c r="C18" t="s">
        <v>71</v>
      </c>
      <c r="D18" t="s">
        <v>933</v>
      </c>
      <c r="E18" s="3" t="s">
        <v>1035</v>
      </c>
      <c r="F18" s="4" t="s">
        <v>1036</v>
      </c>
      <c r="G18" t="s">
        <v>2482</v>
      </c>
      <c r="H18" t="s">
        <v>1037</v>
      </c>
      <c r="I18" s="12" t="s">
        <v>1038</v>
      </c>
      <c r="J18" s="12" t="s">
        <v>1039</v>
      </c>
      <c r="K18" t="s">
        <v>989</v>
      </c>
      <c r="L18" t="str">
        <f>_xlfn.CONCAT(Tbl_Employee_Details[[#This Row],[First Name]],".",Tbl_Employee_Details[[#This Row],[Last Name]],"@saregama.com")</f>
        <v>Kienan.Reary@saregama.com</v>
      </c>
      <c r="M18" s="6">
        <f ca="1">(TODAY() - 'Employee Onboarding'!E18)/365.25</f>
        <v>15.24435318275154</v>
      </c>
      <c r="N18">
        <v>157990</v>
      </c>
      <c r="O18" s="13" t="s">
        <v>13</v>
      </c>
      <c r="P18" s="6">
        <f ca="1">YEARFRAC(Tbl_Employee_Details[[#This Row],[Date of Birth]],TODAY())</f>
        <v>37.166666666666664</v>
      </c>
      <c r="Q18" s="13" t="s">
        <v>990</v>
      </c>
      <c r="R18" s="2" t="s">
        <v>1019</v>
      </c>
      <c r="S18" s="11" t="str">
        <f>IF(ISNA(VLOOKUP(A18,Tbl_Exit_Formalities[Employee ID],1,FALSE)), "No", "Yes")</f>
        <v>Yes</v>
      </c>
      <c r="T18" s="22">
        <f ca="1">Tbl_Employee_Details[[#This Row],[Experience in SAREGAMA]]/((SUMIFS(Tbl_Employee_Details[Experience in SAREGAMA],Tbl_Employee_Details[Department],Tbl_Employee_Details[[#This Row],[Department]])))</f>
        <v>1.130039819291046E-2</v>
      </c>
    </row>
    <row r="19" spans="1:20" x14ac:dyDescent="0.3">
      <c r="A19" s="2">
        <v>103869</v>
      </c>
      <c r="B19" t="s">
        <v>73</v>
      </c>
      <c r="C19" t="s">
        <v>74</v>
      </c>
      <c r="D19" t="s">
        <v>933</v>
      </c>
      <c r="E19" s="3" t="s">
        <v>1040</v>
      </c>
      <c r="F19" s="4" t="s">
        <v>1041</v>
      </c>
      <c r="G19" t="s">
        <v>2496</v>
      </c>
      <c r="H19" t="s">
        <v>1042</v>
      </c>
      <c r="I19" s="12" t="s">
        <v>1043</v>
      </c>
      <c r="J19" s="12" t="s">
        <v>1044</v>
      </c>
      <c r="K19" t="s">
        <v>983</v>
      </c>
      <c r="L19" t="str">
        <f>_xlfn.CONCAT(Tbl_Employee_Details[[#This Row],[First Name]],".",Tbl_Employee_Details[[#This Row],[Last Name]],"@saregama.com")</f>
        <v>Normy.Scola@saregama.com</v>
      </c>
      <c r="M19" s="6">
        <f ca="1">(TODAY() - 'Employee Onboarding'!E19)/365.25</f>
        <v>10.297056810403832</v>
      </c>
      <c r="N19">
        <v>98745</v>
      </c>
      <c r="O19" s="13" t="s">
        <v>13</v>
      </c>
      <c r="P19" s="6">
        <f ca="1">YEARFRAC(Tbl_Employee_Details[[#This Row],[Date of Birth]],TODAY())</f>
        <v>21.763888888888889</v>
      </c>
      <c r="Q19" s="13" t="s">
        <v>990</v>
      </c>
      <c r="R19" s="2" t="s">
        <v>958</v>
      </c>
      <c r="S19" s="11" t="str">
        <f>IF(ISNA(VLOOKUP(A19,Tbl_Exit_Formalities[Employee ID],1,FALSE)), "No", "Yes")</f>
        <v>No</v>
      </c>
      <c r="T19" s="22">
        <f ca="1">Tbl_Employee_Details[[#This Row],[Experience in SAREGAMA]]/((SUMIFS(Tbl_Employee_Details[Experience in SAREGAMA],Tbl_Employee_Details[Department],Tbl_Employee_Details[[#This Row],[Department]])))</f>
        <v>7.6330455466121121E-3</v>
      </c>
    </row>
    <row r="20" spans="1:20" x14ac:dyDescent="0.3">
      <c r="A20" s="2">
        <v>107114</v>
      </c>
      <c r="B20" t="s">
        <v>76</v>
      </c>
      <c r="C20" t="s">
        <v>77</v>
      </c>
      <c r="D20" t="s">
        <v>950</v>
      </c>
      <c r="E20" s="3" t="s">
        <v>1045</v>
      </c>
      <c r="F20" s="4" t="s">
        <v>1046</v>
      </c>
      <c r="G20" t="s">
        <v>2484</v>
      </c>
      <c r="H20" t="s">
        <v>1047</v>
      </c>
      <c r="I20" s="12" t="s">
        <v>1048</v>
      </c>
      <c r="J20" s="12" t="s">
        <v>1049</v>
      </c>
      <c r="K20" t="s">
        <v>983</v>
      </c>
      <c r="L20" t="str">
        <f>_xlfn.CONCAT(Tbl_Employee_Details[[#This Row],[First Name]],".",Tbl_Employee_Details[[#This Row],[Last Name]],"@saregama.com")</f>
        <v>Darline.Conibear@saregama.com</v>
      </c>
      <c r="M20" s="6">
        <f ca="1">(TODAY() - 'Employee Onboarding'!E20)/365.25</f>
        <v>7.6249144421629023</v>
      </c>
      <c r="N20">
        <v>467182</v>
      </c>
      <c r="O20" s="13" t="s">
        <v>22</v>
      </c>
      <c r="P20" s="6">
        <f ca="1">YEARFRAC(Tbl_Employee_Details[[#This Row],[Date of Birth]],TODAY())</f>
        <v>23.744444444444444</v>
      </c>
      <c r="Q20" s="13" t="s">
        <v>990</v>
      </c>
      <c r="R20" s="2" t="s">
        <v>1019</v>
      </c>
      <c r="S20" s="11" t="str">
        <f>IF(ISNA(VLOOKUP(A20,Tbl_Exit_Formalities[Employee ID],1,FALSE)), "No", "Yes")</f>
        <v>No</v>
      </c>
      <c r="T20" s="22">
        <f ca="1">Tbl_Employee_Details[[#This Row],[Experience in SAREGAMA]]/((SUMIFS(Tbl_Employee_Details[Experience in SAREGAMA],Tbl_Employee_Details[Department],Tbl_Employee_Details[[#This Row],[Department]])))</f>
        <v>5.6522286219927503E-3</v>
      </c>
    </row>
    <row r="21" spans="1:20" x14ac:dyDescent="0.3">
      <c r="A21" s="2">
        <v>107377</v>
      </c>
      <c r="B21" t="s">
        <v>79</v>
      </c>
      <c r="C21" t="s">
        <v>80</v>
      </c>
      <c r="D21" t="s">
        <v>950</v>
      </c>
      <c r="E21" s="3" t="s">
        <v>1050</v>
      </c>
      <c r="F21" s="4" t="s">
        <v>1051</v>
      </c>
      <c r="G21" t="s">
        <v>2486</v>
      </c>
      <c r="H21" t="s">
        <v>1052</v>
      </c>
      <c r="I21" s="12" t="s">
        <v>1053</v>
      </c>
      <c r="J21" s="12" t="s">
        <v>1054</v>
      </c>
      <c r="K21" t="s">
        <v>947</v>
      </c>
      <c r="L21" t="str">
        <f>_xlfn.CONCAT(Tbl_Employee_Details[[#This Row],[First Name]],".",Tbl_Employee_Details[[#This Row],[Last Name]],"@saregama.com")</f>
        <v>Doloritas.Hambleton@saregama.com</v>
      </c>
      <c r="M21" s="6">
        <f ca="1">(TODAY() - 'Employee Onboarding'!E21)/365.25</f>
        <v>3.6030116358658453</v>
      </c>
      <c r="N21">
        <v>754438</v>
      </c>
      <c r="O21" s="13" t="s">
        <v>63</v>
      </c>
      <c r="P21" s="6">
        <f ca="1">YEARFRAC(Tbl_Employee_Details[[#This Row],[Date of Birth]],TODAY())</f>
        <v>22.861111111111111</v>
      </c>
      <c r="Q21" s="13" t="s">
        <v>1055</v>
      </c>
      <c r="R21" s="2" t="s">
        <v>965</v>
      </c>
      <c r="S21" s="11" t="str">
        <f>IF(ISNA(VLOOKUP(A21,Tbl_Exit_Formalities[Employee ID],1,FALSE)), "No", "Yes")</f>
        <v>No</v>
      </c>
      <c r="T21" s="22">
        <f ca="1">Tbl_Employee_Details[[#This Row],[Experience in SAREGAMA]]/((SUMIFS(Tbl_Employee_Details[Experience in SAREGAMA],Tbl_Employee_Details[Department],Tbl_Employee_Details[[#This Row],[Department]])))</f>
        <v>7.553277582951174E-3</v>
      </c>
    </row>
    <row r="22" spans="1:20" x14ac:dyDescent="0.3">
      <c r="A22" s="2">
        <v>102050</v>
      </c>
      <c r="B22" t="s">
        <v>82</v>
      </c>
      <c r="C22" t="s">
        <v>83</v>
      </c>
      <c r="D22" t="s">
        <v>950</v>
      </c>
      <c r="E22" s="3" t="s">
        <v>1056</v>
      </c>
      <c r="F22" s="4" t="s">
        <v>1057</v>
      </c>
      <c r="G22" t="s">
        <v>2497</v>
      </c>
      <c r="H22" t="s">
        <v>1058</v>
      </c>
      <c r="I22" s="12" t="s">
        <v>1059</v>
      </c>
      <c r="J22" s="12" t="s">
        <v>1060</v>
      </c>
      <c r="K22" t="s">
        <v>939</v>
      </c>
      <c r="L22" t="str">
        <f>_xlfn.CONCAT(Tbl_Employee_Details[[#This Row],[First Name]],".",Tbl_Employee_Details[[#This Row],[Last Name]],"@saregama.com")</f>
        <v>Martynne.De Filippis@saregama.com</v>
      </c>
      <c r="M22" s="6">
        <f ca="1">(TODAY() - 'Employee Onboarding'!E22)/365.25</f>
        <v>20.520191649555098</v>
      </c>
      <c r="N22">
        <v>367559</v>
      </c>
      <c r="O22" s="13" t="s">
        <v>85</v>
      </c>
      <c r="P22" s="6">
        <f ca="1">YEARFRAC(Tbl_Employee_Details[[#This Row],[Date of Birth]],TODAY())</f>
        <v>28.961111111111112</v>
      </c>
      <c r="Q22" s="13" t="s">
        <v>990</v>
      </c>
      <c r="R22" s="2" t="s">
        <v>965</v>
      </c>
      <c r="S22" s="11" t="str">
        <f>IF(ISNA(VLOOKUP(A22,Tbl_Exit_Formalities[Employee ID],1,FALSE)), "No", "Yes")</f>
        <v>No</v>
      </c>
      <c r="T22" s="22">
        <f ca="1">Tbl_Employee_Details[[#This Row],[Experience in SAREGAMA]]/((SUMIFS(Tbl_Employee_Details[Experience in SAREGAMA],Tbl_Employee_Details[Department],Tbl_Employee_Details[[#This Row],[Department]])))</f>
        <v>1.5211293903711188E-2</v>
      </c>
    </row>
    <row r="23" spans="1:20" x14ac:dyDescent="0.3">
      <c r="A23" s="2">
        <v>105313</v>
      </c>
      <c r="B23" t="s">
        <v>86</v>
      </c>
      <c r="C23" t="s">
        <v>87</v>
      </c>
      <c r="D23" t="s">
        <v>933</v>
      </c>
      <c r="E23" s="3" t="s">
        <v>1061</v>
      </c>
      <c r="F23" s="4" t="s">
        <v>1062</v>
      </c>
      <c r="G23" t="s">
        <v>2493</v>
      </c>
      <c r="H23" t="s">
        <v>1063</v>
      </c>
      <c r="I23" s="12" t="s">
        <v>1064</v>
      </c>
      <c r="J23" s="12" t="s">
        <v>1065</v>
      </c>
      <c r="K23" t="s">
        <v>1066</v>
      </c>
      <c r="L23" t="str">
        <f>_xlfn.CONCAT(Tbl_Employee_Details[[#This Row],[First Name]],".",Tbl_Employee_Details[[#This Row],[Last Name]],"@saregama.com")</f>
        <v>Devlen.Bentall@saregama.com</v>
      </c>
      <c r="M23" s="6">
        <f ca="1">(TODAY() - 'Employee Onboarding'!E23)/365.25</f>
        <v>3.8220396988364134</v>
      </c>
      <c r="N23">
        <v>407051</v>
      </c>
      <c r="O23" s="13" t="s">
        <v>22</v>
      </c>
      <c r="P23" s="6">
        <f ca="1">YEARFRAC(Tbl_Employee_Details[[#This Row],[Date of Birth]],TODAY())</f>
        <v>30.772222222222222</v>
      </c>
      <c r="Q23" s="13" t="s">
        <v>990</v>
      </c>
      <c r="R23" s="2" t="s">
        <v>965</v>
      </c>
      <c r="S23" s="11" t="str">
        <f>IF(ISNA(VLOOKUP(A23,Tbl_Exit_Formalities[Employee ID],1,FALSE)), "No", "Yes")</f>
        <v>No</v>
      </c>
      <c r="T23" s="22">
        <f ca="1">Tbl_Employee_Details[[#This Row],[Experience in SAREGAMA]]/((SUMIFS(Tbl_Employee_Details[Experience in SAREGAMA],Tbl_Employee_Details[Department],Tbl_Employee_Details[[#This Row],[Department]])))</f>
        <v>2.8332176503776943E-3</v>
      </c>
    </row>
    <row r="24" spans="1:20" x14ac:dyDescent="0.3">
      <c r="A24" s="2">
        <v>106118</v>
      </c>
      <c r="B24" t="s">
        <v>89</v>
      </c>
      <c r="C24" t="s">
        <v>90</v>
      </c>
      <c r="D24" t="s">
        <v>933</v>
      </c>
      <c r="E24" s="3" t="s">
        <v>1067</v>
      </c>
      <c r="F24" s="4" t="s">
        <v>1068</v>
      </c>
      <c r="G24" t="s">
        <v>2498</v>
      </c>
      <c r="H24" t="s">
        <v>1069</v>
      </c>
      <c r="I24" s="12" t="s">
        <v>1070</v>
      </c>
      <c r="J24" s="12" t="s">
        <v>1071</v>
      </c>
      <c r="K24" t="s">
        <v>989</v>
      </c>
      <c r="L24" t="str">
        <f>_xlfn.CONCAT(Tbl_Employee_Details[[#This Row],[First Name]],".",Tbl_Employee_Details[[#This Row],[Last Name]],"@saregama.com")</f>
        <v>Sigismundo.Dunnett@saregama.com</v>
      </c>
      <c r="M24" s="6">
        <f ca="1">(TODAY() - 'Employee Onboarding'!E24)/365.25</f>
        <v>15.427789185489392</v>
      </c>
      <c r="N24">
        <v>158127</v>
      </c>
      <c r="O24" s="13" t="s">
        <v>42</v>
      </c>
      <c r="P24" s="6">
        <f ca="1">YEARFRAC(Tbl_Employee_Details[[#This Row],[Date of Birth]],TODAY())</f>
        <v>23.886111111111113</v>
      </c>
      <c r="Q24" s="13" t="s">
        <v>990</v>
      </c>
      <c r="R24" s="2" t="s">
        <v>958</v>
      </c>
      <c r="S24" s="11" t="str">
        <f>IF(ISNA(VLOOKUP(A24,Tbl_Exit_Formalities[Employee ID],1,FALSE)), "No", "Yes")</f>
        <v>No</v>
      </c>
      <c r="T24" s="22">
        <f ca="1">Tbl_Employee_Details[[#This Row],[Experience in SAREGAMA]]/((SUMIFS(Tbl_Employee_Details[Experience in SAREGAMA],Tbl_Employee_Details[Department],Tbl_Employee_Details[[#This Row],[Department]])))</f>
        <v>1.143637640392429E-2</v>
      </c>
    </row>
    <row r="25" spans="1:20" x14ac:dyDescent="0.3">
      <c r="A25" s="2">
        <v>103832</v>
      </c>
      <c r="B25" t="s">
        <v>92</v>
      </c>
      <c r="C25" t="s">
        <v>93</v>
      </c>
      <c r="D25" t="s">
        <v>933</v>
      </c>
      <c r="E25" s="3" t="s">
        <v>1072</v>
      </c>
      <c r="F25" s="4" t="s">
        <v>1073</v>
      </c>
      <c r="G25" t="s">
        <v>2563</v>
      </c>
      <c r="H25" t="s">
        <v>1074</v>
      </c>
      <c r="I25" s="12" t="s">
        <v>1075</v>
      </c>
      <c r="J25" s="12" t="s">
        <v>1076</v>
      </c>
      <c r="K25" t="s">
        <v>939</v>
      </c>
      <c r="L25" t="str">
        <f>_xlfn.CONCAT(Tbl_Employee_Details[[#This Row],[First Name]],".",Tbl_Employee_Details[[#This Row],[Last Name]],"@saregama.com")</f>
        <v>Tymon.Lamonby@saregama.com</v>
      </c>
      <c r="M25" s="6">
        <f ca="1">(TODAY() - 'Employee Onboarding'!E25)/365.25</f>
        <v>16.607802874743328</v>
      </c>
      <c r="N25">
        <v>181086</v>
      </c>
      <c r="O25" s="13" t="s">
        <v>46</v>
      </c>
      <c r="P25" s="6">
        <f ca="1">YEARFRAC(Tbl_Employee_Details[[#This Row],[Date of Birth]],TODAY())</f>
        <v>24.080555555555556</v>
      </c>
      <c r="Q25" s="13" t="s">
        <v>990</v>
      </c>
      <c r="R25" s="2" t="s">
        <v>1019</v>
      </c>
      <c r="S25" s="11" t="str">
        <f>IF(ISNA(VLOOKUP(A25,Tbl_Exit_Formalities[Employee ID],1,FALSE)), "No", "Yes")</f>
        <v>No</v>
      </c>
      <c r="T25" s="22">
        <f ca="1">Tbl_Employee_Details[[#This Row],[Experience in SAREGAMA]]/((SUMIFS(Tbl_Employee_Details[Experience in SAREGAMA],Tbl_Employee_Details[Department],Tbl_Employee_Details[[#This Row],[Department]])))</f>
        <v>1.2311101910595342E-2</v>
      </c>
    </row>
    <row r="26" spans="1:20" x14ac:dyDescent="0.3">
      <c r="A26" s="2">
        <v>107469</v>
      </c>
      <c r="B26" t="s">
        <v>95</v>
      </c>
      <c r="C26" t="s">
        <v>96</v>
      </c>
      <c r="D26" t="s">
        <v>933</v>
      </c>
      <c r="E26" s="3" t="s">
        <v>1077</v>
      </c>
      <c r="F26" s="4" t="s">
        <v>1078</v>
      </c>
      <c r="G26" t="s">
        <v>2499</v>
      </c>
      <c r="H26" t="s">
        <v>1079</v>
      </c>
      <c r="I26" s="12" t="s">
        <v>1080</v>
      </c>
      <c r="J26" s="12" t="s">
        <v>1081</v>
      </c>
      <c r="K26" t="s">
        <v>983</v>
      </c>
      <c r="L26" t="str">
        <f>_xlfn.CONCAT(Tbl_Employee_Details[[#This Row],[First Name]],".",Tbl_Employee_Details[[#This Row],[Last Name]],"@saregama.com")</f>
        <v>Clevey.Reville@saregama.com</v>
      </c>
      <c r="M26" s="6">
        <f ca="1">(TODAY() - 'Employee Onboarding'!E26)/365.25</f>
        <v>21.78507871321013</v>
      </c>
      <c r="N26">
        <v>731220</v>
      </c>
      <c r="O26" s="13" t="s">
        <v>63</v>
      </c>
      <c r="P26" s="6">
        <f ca="1">YEARFRAC(Tbl_Employee_Details[[#This Row],[Date of Birth]],TODAY())</f>
        <v>26.975000000000001</v>
      </c>
      <c r="Q26" s="13" t="s">
        <v>940</v>
      </c>
      <c r="R26" s="2" t="s">
        <v>965</v>
      </c>
      <c r="S26" s="11" t="str">
        <f>IF(ISNA(VLOOKUP(A26,Tbl_Exit_Formalities[Employee ID],1,FALSE)), "No", "Yes")</f>
        <v>No</v>
      </c>
      <c r="T26" s="22">
        <f ca="1">Tbl_Employee_Details[[#This Row],[Experience in SAREGAMA]]/((SUMIFS(Tbl_Employee_Details[Experience in SAREGAMA],Tbl_Employee_Details[Department],Tbl_Employee_Details[[#This Row],[Department]])))</f>
        <v>7.0293382333454058E-2</v>
      </c>
    </row>
    <row r="27" spans="1:20" x14ac:dyDescent="0.3">
      <c r="A27" s="2">
        <v>106004</v>
      </c>
      <c r="B27" t="s">
        <v>98</v>
      </c>
      <c r="C27" t="s">
        <v>99</v>
      </c>
      <c r="D27" t="s">
        <v>933</v>
      </c>
      <c r="E27" s="3" t="s">
        <v>1082</v>
      </c>
      <c r="F27" s="4" t="s">
        <v>1083</v>
      </c>
      <c r="G27" t="s">
        <v>2500</v>
      </c>
      <c r="H27" t="s">
        <v>1084</v>
      </c>
      <c r="I27" s="12" t="s">
        <v>1085</v>
      </c>
      <c r="J27" s="12" t="s">
        <v>1086</v>
      </c>
      <c r="K27" t="s">
        <v>983</v>
      </c>
      <c r="L27" t="str">
        <f>_xlfn.CONCAT(Tbl_Employee_Details[[#This Row],[First Name]],".",Tbl_Employee_Details[[#This Row],[Last Name]],"@saregama.com")</f>
        <v>Julio.Colyer@saregama.com</v>
      </c>
      <c r="M27" s="6">
        <f ca="1">(TODAY() - 'Employee Onboarding'!E27)/365.25</f>
        <v>22.477754962354553</v>
      </c>
      <c r="N27">
        <v>143031</v>
      </c>
      <c r="O27" s="13" t="s">
        <v>42</v>
      </c>
      <c r="P27" s="6">
        <f ca="1">YEARFRAC(Tbl_Employee_Details[[#This Row],[Date of Birth]],TODAY())</f>
        <v>26.844444444444445</v>
      </c>
      <c r="Q27" s="13" t="s">
        <v>990</v>
      </c>
      <c r="R27" s="2" t="s">
        <v>958</v>
      </c>
      <c r="S27" s="11" t="str">
        <f>IF(ISNA(VLOOKUP(A27,Tbl_Exit_Formalities[Employee ID],1,FALSE)), "No", "Yes")</f>
        <v>No</v>
      </c>
      <c r="T27" s="22">
        <f ca="1">Tbl_Employee_Details[[#This Row],[Experience in SAREGAMA]]/((SUMIFS(Tbl_Employee_Details[Experience in SAREGAMA],Tbl_Employee_Details[Department],Tbl_Employee_Details[[#This Row],[Department]])))</f>
        <v>1.6662404663037873E-2</v>
      </c>
    </row>
    <row r="28" spans="1:20" x14ac:dyDescent="0.3">
      <c r="A28" s="2">
        <v>104211</v>
      </c>
      <c r="B28" t="s">
        <v>101</v>
      </c>
      <c r="C28" t="s">
        <v>102</v>
      </c>
      <c r="D28" t="s">
        <v>950</v>
      </c>
      <c r="E28" s="3" t="s">
        <v>1087</v>
      </c>
      <c r="F28" s="4" t="s">
        <v>1088</v>
      </c>
      <c r="G28" t="s">
        <v>2501</v>
      </c>
      <c r="H28" t="s">
        <v>1089</v>
      </c>
      <c r="I28" s="12" t="s">
        <v>1090</v>
      </c>
      <c r="J28" s="12" t="s">
        <v>1091</v>
      </c>
      <c r="K28" t="s">
        <v>1066</v>
      </c>
      <c r="L28" t="str">
        <f>_xlfn.CONCAT(Tbl_Employee_Details[[#This Row],[First Name]],".",Tbl_Employee_Details[[#This Row],[Last Name]],"@saregama.com")</f>
        <v>Lorelle.Wight@saregama.com</v>
      </c>
      <c r="M28" s="6">
        <f ca="1">(TODAY() - 'Employee Onboarding'!E28)/365.25</f>
        <v>18.184804928131417</v>
      </c>
      <c r="N28">
        <v>183660</v>
      </c>
      <c r="O28" s="13" t="s">
        <v>13</v>
      </c>
      <c r="P28" s="6">
        <f ca="1">YEARFRAC(Tbl_Employee_Details[[#This Row],[Date of Birth]],TODAY())</f>
        <v>34.024999999999999</v>
      </c>
      <c r="Q28" s="13" t="s">
        <v>990</v>
      </c>
      <c r="R28" s="2" t="s">
        <v>977</v>
      </c>
      <c r="S28" s="11" t="str">
        <f>IF(ISNA(VLOOKUP(A28,Tbl_Exit_Formalities[Employee ID],1,FALSE)), "No", "Yes")</f>
        <v>No</v>
      </c>
      <c r="T28" s="22">
        <f ca="1">Tbl_Employee_Details[[#This Row],[Experience in SAREGAMA]]/((SUMIFS(Tbl_Employee_Details[Experience in SAREGAMA],Tbl_Employee_Details[Department],Tbl_Employee_Details[[#This Row],[Department]])))</f>
        <v>1.3480108620206767E-2</v>
      </c>
    </row>
    <row r="29" spans="1:20" x14ac:dyDescent="0.3">
      <c r="A29" s="2">
        <v>104750</v>
      </c>
      <c r="B29" t="s">
        <v>104</v>
      </c>
      <c r="C29" t="s">
        <v>105</v>
      </c>
      <c r="D29" t="s">
        <v>933</v>
      </c>
      <c r="E29" s="3" t="s">
        <v>1092</v>
      </c>
      <c r="F29" s="4" t="s">
        <v>1093</v>
      </c>
      <c r="G29" t="s">
        <v>2502</v>
      </c>
      <c r="H29" t="s">
        <v>1094</v>
      </c>
      <c r="I29" s="12" t="s">
        <v>1095</v>
      </c>
      <c r="J29" s="12" t="s">
        <v>1096</v>
      </c>
      <c r="K29" t="s">
        <v>939</v>
      </c>
      <c r="L29" t="str">
        <f>_xlfn.CONCAT(Tbl_Employee_Details[[#This Row],[First Name]],".",Tbl_Employee_Details[[#This Row],[Last Name]],"@saregama.com")</f>
        <v>Prince.Norvell@saregama.com</v>
      </c>
      <c r="M29" s="6">
        <f ca="1">(TODAY() - 'Employee Onboarding'!E29)/365.25</f>
        <v>30.970568104038328</v>
      </c>
      <c r="N29">
        <v>187944</v>
      </c>
      <c r="O29" s="13" t="s">
        <v>42</v>
      </c>
      <c r="P29" s="6">
        <f ca="1">YEARFRAC(Tbl_Employee_Details[[#This Row],[Date of Birth]],TODAY())</f>
        <v>37.116666666666667</v>
      </c>
      <c r="Q29" s="13" t="s">
        <v>990</v>
      </c>
      <c r="R29" s="2" t="s">
        <v>965</v>
      </c>
      <c r="S29" s="11" t="str">
        <f>IF(ISNA(VLOOKUP(A29,Tbl_Exit_Formalities[Employee ID],1,FALSE)), "No", "Yes")</f>
        <v>No</v>
      </c>
      <c r="T29" s="22">
        <f ca="1">Tbl_Employee_Details[[#This Row],[Experience in SAREGAMA]]/((SUMIFS(Tbl_Employee_Details[Experience in SAREGAMA],Tbl_Employee_Details[Department],Tbl_Employee_Details[[#This Row],[Department]])))</f>
        <v>2.295799288042441E-2</v>
      </c>
    </row>
    <row r="30" spans="1:20" x14ac:dyDescent="0.3">
      <c r="A30" s="2">
        <v>103841</v>
      </c>
      <c r="B30" t="s">
        <v>107</v>
      </c>
      <c r="C30" t="s">
        <v>108</v>
      </c>
      <c r="D30" t="s">
        <v>950</v>
      </c>
      <c r="E30" s="3" t="s">
        <v>1097</v>
      </c>
      <c r="F30" s="4" t="s">
        <v>1098</v>
      </c>
      <c r="G30" t="s">
        <v>2482</v>
      </c>
      <c r="H30" t="s">
        <v>1099</v>
      </c>
      <c r="I30" s="12" t="s">
        <v>1100</v>
      </c>
      <c r="J30" s="12" t="s">
        <v>1101</v>
      </c>
      <c r="K30" t="s">
        <v>956</v>
      </c>
      <c r="L30" t="str">
        <f>_xlfn.CONCAT(Tbl_Employee_Details[[#This Row],[First Name]],".",Tbl_Employee_Details[[#This Row],[Last Name]],"@saregama.com")</f>
        <v>Timi.Van de Vlies@saregama.com</v>
      </c>
      <c r="M30" s="6">
        <f ca="1">(TODAY() - 'Employee Onboarding'!E30)/365.25</f>
        <v>3.2607802874743328</v>
      </c>
      <c r="N30">
        <v>468019</v>
      </c>
      <c r="O30" s="13" t="s">
        <v>22</v>
      </c>
      <c r="P30" s="6">
        <f ca="1">YEARFRAC(Tbl_Employee_Details[[#This Row],[Date of Birth]],TODAY())</f>
        <v>40.472222222222221</v>
      </c>
      <c r="Q30" s="13" t="s">
        <v>990</v>
      </c>
      <c r="R30" s="2" t="s">
        <v>941</v>
      </c>
      <c r="S30" s="11" t="str">
        <f>IF(ISNA(VLOOKUP(A30,Tbl_Exit_Formalities[Employee ID],1,FALSE)), "No", "Yes")</f>
        <v>Yes</v>
      </c>
      <c r="T30" s="22">
        <f ca="1">Tbl_Employee_Details[[#This Row],[Experience in SAREGAMA]]/((SUMIFS(Tbl_Employee_Details[Experience in SAREGAMA],Tbl_Employee_Details[Department],Tbl_Employee_Details[[#This Row],[Department]])))</f>
        <v>2.4171649151861277E-3</v>
      </c>
    </row>
    <row r="31" spans="1:20" x14ac:dyDescent="0.3">
      <c r="A31" s="2">
        <v>104352</v>
      </c>
      <c r="B31" t="s">
        <v>110</v>
      </c>
      <c r="C31" t="s">
        <v>111</v>
      </c>
      <c r="D31" t="s">
        <v>950</v>
      </c>
      <c r="E31" s="3" t="s">
        <v>1102</v>
      </c>
      <c r="F31" s="4" t="s">
        <v>1103</v>
      </c>
      <c r="G31" t="s">
        <v>2563</v>
      </c>
      <c r="H31" t="s">
        <v>1104</v>
      </c>
      <c r="I31" s="12" t="s">
        <v>1105</v>
      </c>
      <c r="J31" s="12" t="s">
        <v>1106</v>
      </c>
      <c r="K31" t="s">
        <v>983</v>
      </c>
      <c r="L31" t="str">
        <f>_xlfn.CONCAT(Tbl_Employee_Details[[#This Row],[First Name]],".",Tbl_Employee_Details[[#This Row],[Last Name]],"@saregama.com")</f>
        <v>Doe.Heffernon@saregama.com</v>
      </c>
      <c r="M31" s="6">
        <f ca="1">(TODAY() - 'Employee Onboarding'!E31)/365.25</f>
        <v>36.881587953456538</v>
      </c>
      <c r="N31">
        <v>119660</v>
      </c>
      <c r="O31" s="13" t="s">
        <v>113</v>
      </c>
      <c r="P31" s="6">
        <f ca="1">YEARFRAC(Tbl_Employee_Details[[#This Row],[Date of Birth]],TODAY())</f>
        <v>40.238888888888887</v>
      </c>
      <c r="Q31" s="13" t="s">
        <v>990</v>
      </c>
      <c r="R31" s="2" t="s">
        <v>1002</v>
      </c>
      <c r="S31" s="11" t="str">
        <f>IF(ISNA(VLOOKUP(A31,Tbl_Exit_Formalities[Employee ID],1,FALSE)), "No", "Yes")</f>
        <v>No</v>
      </c>
      <c r="T31" s="22">
        <f ca="1">Tbl_Employee_Details[[#This Row],[Experience in SAREGAMA]]/((SUMIFS(Tbl_Employee_Details[Experience in SAREGAMA],Tbl_Employee_Details[Department],Tbl_Employee_Details[[#This Row],[Department]])))</f>
        <v>2.7339738515929746E-2</v>
      </c>
    </row>
    <row r="32" spans="1:20" x14ac:dyDescent="0.3">
      <c r="A32" s="2">
        <v>105171</v>
      </c>
      <c r="B32" t="s">
        <v>114</v>
      </c>
      <c r="C32" t="s">
        <v>115</v>
      </c>
      <c r="D32" t="s">
        <v>950</v>
      </c>
      <c r="E32" s="3" t="s">
        <v>1107</v>
      </c>
      <c r="F32" s="4" t="s">
        <v>1108</v>
      </c>
      <c r="G32" t="s">
        <v>2503</v>
      </c>
      <c r="H32" t="s">
        <v>1109</v>
      </c>
      <c r="I32" s="12" t="s">
        <v>1110</v>
      </c>
      <c r="J32" s="12" t="s">
        <v>1111</v>
      </c>
      <c r="K32" t="s">
        <v>947</v>
      </c>
      <c r="L32" t="str">
        <f>_xlfn.CONCAT(Tbl_Employee_Details[[#This Row],[First Name]],".",Tbl_Employee_Details[[#This Row],[Last Name]],"@saregama.com")</f>
        <v>Marci.Pilgram@saregama.com</v>
      </c>
      <c r="M32" s="6">
        <f ca="1">(TODAY() - 'Employee Onboarding'!E32)/365.25</f>
        <v>3.7097878165639973</v>
      </c>
      <c r="N32">
        <v>935095</v>
      </c>
      <c r="O32" s="13" t="s">
        <v>51</v>
      </c>
      <c r="P32" s="6">
        <f ca="1">YEARFRAC(Tbl_Employee_Details[[#This Row],[Date of Birth]],TODAY())</f>
        <v>24.830555555555556</v>
      </c>
      <c r="Q32" s="13" t="s">
        <v>1055</v>
      </c>
      <c r="R32" s="2" t="s">
        <v>965</v>
      </c>
      <c r="S32" s="11" t="str">
        <f>IF(ISNA(VLOOKUP(A32,Tbl_Exit_Formalities[Employee ID],1,FALSE)), "No", "Yes")</f>
        <v>No</v>
      </c>
      <c r="T32" s="22">
        <f ca="1">Tbl_Employee_Details[[#This Row],[Experience in SAREGAMA]]/((SUMIFS(Tbl_Employee_Details[Experience in SAREGAMA],Tbl_Employee_Details[Department],Tbl_Employee_Details[[#This Row],[Department]])))</f>
        <v>7.7771209155766269E-3</v>
      </c>
    </row>
    <row r="33" spans="1:20" x14ac:dyDescent="0.3">
      <c r="A33" s="2">
        <v>102504</v>
      </c>
      <c r="B33" t="s">
        <v>117</v>
      </c>
      <c r="C33" t="s">
        <v>118</v>
      </c>
      <c r="D33" t="s">
        <v>933</v>
      </c>
      <c r="E33" s="3" t="s">
        <v>1112</v>
      </c>
      <c r="F33" s="4" t="s">
        <v>1113</v>
      </c>
      <c r="G33" t="s">
        <v>2504</v>
      </c>
      <c r="H33" t="s">
        <v>1114</v>
      </c>
      <c r="I33" s="12" t="s">
        <v>1115</v>
      </c>
      <c r="J33" s="12" t="s">
        <v>1116</v>
      </c>
      <c r="K33" t="s">
        <v>983</v>
      </c>
      <c r="L33" t="str">
        <f>_xlfn.CONCAT(Tbl_Employee_Details[[#This Row],[First Name]],".",Tbl_Employee_Details[[#This Row],[Last Name]],"@saregama.com")</f>
        <v>Nealy.Gasnoll@saregama.com</v>
      </c>
      <c r="M33" s="6">
        <f ca="1">(TODAY() - 'Employee Onboarding'!E33)/365.25</f>
        <v>15.017111567419576</v>
      </c>
      <c r="N33">
        <v>522513</v>
      </c>
      <c r="O33" s="13" t="s">
        <v>63</v>
      </c>
      <c r="P33" s="6">
        <f ca="1">YEARFRAC(Tbl_Employee_Details[[#This Row],[Date of Birth]],TODAY())</f>
        <v>21.680555555555557</v>
      </c>
      <c r="Q33" s="13" t="s">
        <v>940</v>
      </c>
      <c r="R33" s="2" t="s">
        <v>996</v>
      </c>
      <c r="S33" s="11" t="str">
        <f>IF(ISNA(VLOOKUP(A33,Tbl_Exit_Formalities[Employee ID],1,FALSE)), "No", "Yes")</f>
        <v>No</v>
      </c>
      <c r="T33" s="22">
        <f ca="1">Tbl_Employee_Details[[#This Row],[Experience in SAREGAMA]]/((SUMIFS(Tbl_Employee_Details[Experience in SAREGAMA],Tbl_Employee_Details[Department],Tbl_Employee_Details[[#This Row],[Department]])))</f>
        <v>4.8455347756565979E-2</v>
      </c>
    </row>
    <row r="34" spans="1:20" x14ac:dyDescent="0.3">
      <c r="A34" s="2">
        <v>102130</v>
      </c>
      <c r="B34" t="s">
        <v>120</v>
      </c>
      <c r="C34" t="s">
        <v>121</v>
      </c>
      <c r="D34" t="s">
        <v>933</v>
      </c>
      <c r="E34" s="3" t="s">
        <v>1117</v>
      </c>
      <c r="F34" s="4" t="s">
        <v>1118</v>
      </c>
      <c r="G34" t="s">
        <v>2490</v>
      </c>
      <c r="H34" t="s">
        <v>1119</v>
      </c>
      <c r="I34" s="12" t="s">
        <v>1120</v>
      </c>
      <c r="J34" s="12" t="s">
        <v>1121</v>
      </c>
      <c r="K34" t="s">
        <v>1013</v>
      </c>
      <c r="L34" t="str">
        <f>_xlfn.CONCAT(Tbl_Employee_Details[[#This Row],[First Name]],".",Tbl_Employee_Details[[#This Row],[Last Name]],"@saregama.com")</f>
        <v>Delainey.Meir@saregama.com</v>
      </c>
      <c r="M34" s="6">
        <f ca="1">(TODAY() - 'Employee Onboarding'!E34)/365.25</f>
        <v>15.340177960301164</v>
      </c>
      <c r="N34">
        <v>398361</v>
      </c>
      <c r="O34" s="13" t="s">
        <v>22</v>
      </c>
      <c r="P34" s="6">
        <f ca="1">YEARFRAC(Tbl_Employee_Details[[#This Row],[Date of Birth]],TODAY())</f>
        <v>44.988888888888887</v>
      </c>
      <c r="Q34" s="13" t="s">
        <v>964</v>
      </c>
      <c r="R34" s="2" t="s">
        <v>977</v>
      </c>
      <c r="S34" s="11" t="str">
        <f>IF(ISNA(VLOOKUP(A34,Tbl_Exit_Formalities[Employee ID],1,FALSE)), "No", "Yes")</f>
        <v>No</v>
      </c>
      <c r="T34" s="22">
        <f ca="1">Tbl_Employee_Details[[#This Row],[Experience in SAREGAMA]]/((SUMIFS(Tbl_Employee_Details[Experience in SAREGAMA],Tbl_Employee_Details[Department],Tbl_Employee_Details[[#This Row],[Department]])))</f>
        <v>4.3378960081756519E-2</v>
      </c>
    </row>
    <row r="35" spans="1:20" x14ac:dyDescent="0.3">
      <c r="A35" s="2">
        <v>106263</v>
      </c>
      <c r="B35" t="s">
        <v>123</v>
      </c>
      <c r="C35" t="s">
        <v>124</v>
      </c>
      <c r="D35" t="s">
        <v>950</v>
      </c>
      <c r="E35" s="3" t="s">
        <v>1122</v>
      </c>
      <c r="F35" s="4" t="s">
        <v>1123</v>
      </c>
      <c r="G35" t="s">
        <v>2495</v>
      </c>
      <c r="H35" t="s">
        <v>1124</v>
      </c>
      <c r="I35" s="12" t="s">
        <v>1125</v>
      </c>
      <c r="J35" s="12" t="s">
        <v>1126</v>
      </c>
      <c r="K35" t="s">
        <v>989</v>
      </c>
      <c r="L35" t="str">
        <f>_xlfn.CONCAT(Tbl_Employee_Details[[#This Row],[First Name]],".",Tbl_Employee_Details[[#This Row],[Last Name]],"@saregama.com")</f>
        <v>Elvera.Adolfsen@saregama.com</v>
      </c>
      <c r="M35" s="6">
        <f ca="1">(TODAY() - 'Employee Onboarding'!E35)/365.25</f>
        <v>29.850787132101299</v>
      </c>
      <c r="N35">
        <v>176198</v>
      </c>
      <c r="O35" s="13" t="s">
        <v>46</v>
      </c>
      <c r="P35" s="6">
        <f ca="1">YEARFRAC(Tbl_Employee_Details[[#This Row],[Date of Birth]],TODAY())</f>
        <v>37.511111111111113</v>
      </c>
      <c r="Q35" s="13" t="s">
        <v>964</v>
      </c>
      <c r="R35" s="2" t="s">
        <v>996</v>
      </c>
      <c r="S35" s="11" t="str">
        <f>IF(ISNA(VLOOKUP(A35,Tbl_Exit_Formalities[Employee ID],1,FALSE)), "No", "Yes")</f>
        <v>No</v>
      </c>
      <c r="T35" s="22">
        <f ca="1">Tbl_Employee_Details[[#This Row],[Experience in SAREGAMA]]/((SUMIFS(Tbl_Employee_Details[Experience in SAREGAMA],Tbl_Employee_Details[Department],Tbl_Employee_Details[[#This Row],[Department]])))</f>
        <v>8.4412065281347731E-2</v>
      </c>
    </row>
    <row r="36" spans="1:20" x14ac:dyDescent="0.3">
      <c r="A36" s="2">
        <v>105304</v>
      </c>
      <c r="B36" t="s">
        <v>126</v>
      </c>
      <c r="C36" t="s">
        <v>127</v>
      </c>
      <c r="D36" t="s">
        <v>933</v>
      </c>
      <c r="E36" s="3" t="s">
        <v>1127</v>
      </c>
      <c r="F36" s="4" t="s">
        <v>1128</v>
      </c>
      <c r="G36" t="s">
        <v>2482</v>
      </c>
      <c r="H36" t="s">
        <v>1129</v>
      </c>
      <c r="I36" s="12" t="s">
        <v>1130</v>
      </c>
      <c r="J36" s="12" t="s">
        <v>1131</v>
      </c>
      <c r="K36" t="s">
        <v>983</v>
      </c>
      <c r="L36" t="str">
        <f>_xlfn.CONCAT(Tbl_Employee_Details[[#This Row],[First Name]],".",Tbl_Employee_Details[[#This Row],[Last Name]],"@saregama.com")</f>
        <v>Trstram.Paniman@saregama.com</v>
      </c>
      <c r="M36" s="6">
        <f ca="1">(TODAY() - 'Employee Onboarding'!E36)/365.25</f>
        <v>19.603011635865844</v>
      </c>
      <c r="N36">
        <v>799931</v>
      </c>
      <c r="O36" s="13" t="s">
        <v>129</v>
      </c>
      <c r="P36" s="6">
        <f ca="1">YEARFRAC(Tbl_Employee_Details[[#This Row],[Date of Birth]],TODAY())</f>
        <v>23.019444444444446</v>
      </c>
      <c r="Q36" s="13" t="s">
        <v>964</v>
      </c>
      <c r="R36" s="2" t="s">
        <v>1002</v>
      </c>
      <c r="S36" s="11" t="str">
        <f>IF(ISNA(VLOOKUP(A36,Tbl_Exit_Formalities[Employee ID],1,FALSE)), "No", "Yes")</f>
        <v>No</v>
      </c>
      <c r="T36" s="22">
        <f ca="1">Tbl_Employee_Details[[#This Row],[Experience in SAREGAMA]]/((SUMIFS(Tbl_Employee_Details[Experience in SAREGAMA],Tbl_Employee_Details[Department],Tbl_Employee_Details[[#This Row],[Department]])))</f>
        <v>5.5433402496051519E-2</v>
      </c>
    </row>
    <row r="37" spans="1:20" x14ac:dyDescent="0.3">
      <c r="A37" s="2">
        <v>103004</v>
      </c>
      <c r="B37" t="s">
        <v>130</v>
      </c>
      <c r="C37" t="s">
        <v>131</v>
      </c>
      <c r="D37" t="s">
        <v>950</v>
      </c>
      <c r="E37" s="3" t="s">
        <v>1132</v>
      </c>
      <c r="F37" s="4" t="s">
        <v>1133</v>
      </c>
      <c r="G37" t="s">
        <v>2482</v>
      </c>
      <c r="H37" t="s">
        <v>1134</v>
      </c>
      <c r="I37" s="12" t="s">
        <v>1135</v>
      </c>
      <c r="J37" s="12" t="s">
        <v>1136</v>
      </c>
      <c r="K37" t="s">
        <v>947</v>
      </c>
      <c r="L37" t="str">
        <f>_xlfn.CONCAT(Tbl_Employee_Details[[#This Row],[First Name]],".",Tbl_Employee_Details[[#This Row],[Last Name]],"@saregama.com")</f>
        <v>Annice.Eykelbosch@saregama.com</v>
      </c>
      <c r="M37" s="6">
        <f ca="1">(TODAY() - 'Employee Onboarding'!E37)/365.25</f>
        <v>14.847364818617386</v>
      </c>
      <c r="N37">
        <v>128944</v>
      </c>
      <c r="O37" s="13" t="s">
        <v>42</v>
      </c>
      <c r="P37" s="6">
        <f ca="1">YEARFRAC(Tbl_Employee_Details[[#This Row],[Date of Birth]],TODAY())</f>
        <v>19.666666666666668</v>
      </c>
      <c r="Q37" s="13" t="s">
        <v>964</v>
      </c>
      <c r="R37" s="2" t="s">
        <v>949</v>
      </c>
      <c r="S37" s="11" t="str">
        <f>IF(ISNA(VLOOKUP(A37,Tbl_Exit_Formalities[Employee ID],1,FALSE)), "No", "Yes")</f>
        <v>No</v>
      </c>
      <c r="T37" s="22">
        <f ca="1">Tbl_Employee_Details[[#This Row],[Experience in SAREGAMA]]/((SUMIFS(Tbl_Employee_Details[Experience in SAREGAMA],Tbl_Employee_Details[Department],Tbl_Employee_Details[[#This Row],[Department]])))</f>
        <v>4.1985382924034559E-2</v>
      </c>
    </row>
    <row r="38" spans="1:20" x14ac:dyDescent="0.3">
      <c r="A38" s="2">
        <v>103734</v>
      </c>
      <c r="B38" t="s">
        <v>133</v>
      </c>
      <c r="C38" t="s">
        <v>134</v>
      </c>
      <c r="D38" t="s">
        <v>950</v>
      </c>
      <c r="E38" s="3" t="s">
        <v>1137</v>
      </c>
      <c r="F38" s="4" t="s">
        <v>1138</v>
      </c>
      <c r="G38" t="s">
        <v>2486</v>
      </c>
      <c r="H38" t="s">
        <v>1139</v>
      </c>
      <c r="I38" s="12" t="s">
        <v>1140</v>
      </c>
      <c r="J38" s="12" t="s">
        <v>1141</v>
      </c>
      <c r="K38" t="s">
        <v>983</v>
      </c>
      <c r="L38" t="str">
        <f>_xlfn.CONCAT(Tbl_Employee_Details[[#This Row],[First Name]],".",Tbl_Employee_Details[[#This Row],[Last Name]],"@saregama.com")</f>
        <v>Ninnette.Stansall@saregama.com</v>
      </c>
      <c r="M38" s="6">
        <f ca="1">(TODAY() - 'Employee Onboarding'!E38)/365.25</f>
        <v>14.485968514715948</v>
      </c>
      <c r="N38">
        <v>141962</v>
      </c>
      <c r="O38" s="13" t="s">
        <v>42</v>
      </c>
      <c r="P38" s="6">
        <f ca="1">YEARFRAC(Tbl_Employee_Details[[#This Row],[Date of Birth]],TODAY())</f>
        <v>21.502777777777776</v>
      </c>
      <c r="Q38" s="13" t="s">
        <v>964</v>
      </c>
      <c r="R38" s="2" t="s">
        <v>941</v>
      </c>
      <c r="S38" s="11" t="str">
        <f>IF(ISNA(VLOOKUP(A38,Tbl_Exit_Formalities[Employee ID],1,FALSE)), "No", "Yes")</f>
        <v>No</v>
      </c>
      <c r="T38" s="22">
        <f ca="1">Tbl_Employee_Details[[#This Row],[Experience in SAREGAMA]]/((SUMIFS(Tbl_Employee_Details[Experience in SAREGAMA],Tbl_Employee_Details[Department],Tbl_Employee_Details[[#This Row],[Department]])))</f>
        <v>4.0963426341705113E-2</v>
      </c>
    </row>
    <row r="39" spans="1:20" x14ac:dyDescent="0.3">
      <c r="A39" s="2">
        <v>102501</v>
      </c>
      <c r="B39" t="s">
        <v>136</v>
      </c>
      <c r="C39" t="s">
        <v>137</v>
      </c>
      <c r="D39" t="s">
        <v>933</v>
      </c>
      <c r="E39" s="3" t="s">
        <v>1142</v>
      </c>
      <c r="F39" s="4" t="s">
        <v>1143</v>
      </c>
      <c r="G39" t="s">
        <v>2505</v>
      </c>
      <c r="H39" t="s">
        <v>1144</v>
      </c>
      <c r="I39" s="12" t="s">
        <v>1145</v>
      </c>
      <c r="J39" s="12" t="s">
        <v>1146</v>
      </c>
      <c r="K39" t="s">
        <v>989</v>
      </c>
      <c r="L39" t="str">
        <f>_xlfn.CONCAT(Tbl_Employee_Details[[#This Row],[First Name]],".",Tbl_Employee_Details[[#This Row],[Last Name]],"@saregama.com")</f>
        <v>Bartholomeo.Bottomore@saregama.com</v>
      </c>
      <c r="M39" s="6">
        <f ca="1">(TODAY() - 'Employee Onboarding'!E39)/365.25</f>
        <v>1.429158110882957</v>
      </c>
      <c r="N39">
        <v>477766</v>
      </c>
      <c r="O39" s="13" t="s">
        <v>22</v>
      </c>
      <c r="P39" s="6">
        <f ca="1">YEARFRAC(Tbl_Employee_Details[[#This Row],[Date of Birth]],TODAY())</f>
        <v>39.355555555555554</v>
      </c>
      <c r="Q39" s="13" t="s">
        <v>964</v>
      </c>
      <c r="R39" s="2" t="s">
        <v>941</v>
      </c>
      <c r="S39" s="11" t="str">
        <f>IF(ISNA(VLOOKUP(A39,Tbl_Exit_Formalities[Employee ID],1,FALSE)), "No", "Yes")</f>
        <v>No</v>
      </c>
      <c r="T39" s="22">
        <f ca="1">Tbl_Employee_Details[[#This Row],[Experience in SAREGAMA]]/((SUMIFS(Tbl_Employee_Details[Experience in SAREGAMA],Tbl_Employee_Details[Department],Tbl_Employee_Details[[#This Row],[Department]])))</f>
        <v>4.0413737573937007E-3</v>
      </c>
    </row>
    <row r="40" spans="1:20" x14ac:dyDescent="0.3">
      <c r="A40" s="2">
        <v>107791</v>
      </c>
      <c r="B40" t="s">
        <v>139</v>
      </c>
      <c r="C40" t="s">
        <v>140</v>
      </c>
      <c r="D40" t="s">
        <v>933</v>
      </c>
      <c r="E40" s="3" t="s">
        <v>1147</v>
      </c>
      <c r="F40" s="4" t="s">
        <v>1148</v>
      </c>
      <c r="G40" t="s">
        <v>2563</v>
      </c>
      <c r="H40" t="s">
        <v>1149</v>
      </c>
      <c r="I40" s="12" t="s">
        <v>1150</v>
      </c>
      <c r="J40" s="12" t="s">
        <v>1151</v>
      </c>
      <c r="K40" t="s">
        <v>956</v>
      </c>
      <c r="L40" t="str">
        <f>_xlfn.CONCAT(Tbl_Employee_Details[[#This Row],[First Name]],".",Tbl_Employee_Details[[#This Row],[Last Name]],"@saregama.com")</f>
        <v>Sawyere.Ebertz@saregama.com</v>
      </c>
      <c r="M40" s="6">
        <f ca="1">(TODAY() - 'Employee Onboarding'!E40)/365.25</f>
        <v>7.9178644763860371</v>
      </c>
      <c r="N40">
        <v>588810</v>
      </c>
      <c r="O40" s="13" t="s">
        <v>63</v>
      </c>
      <c r="P40" s="6">
        <f ca="1">YEARFRAC(Tbl_Employee_Details[[#This Row],[Date of Birth]],TODAY())</f>
        <v>19.100000000000001</v>
      </c>
      <c r="Q40" s="13" t="s">
        <v>964</v>
      </c>
      <c r="R40" s="2" t="s">
        <v>996</v>
      </c>
      <c r="S40" s="11" t="str">
        <f>IF(ISNA(VLOOKUP(A40,Tbl_Exit_Formalities[Employee ID],1,FALSE)), "No", "Yes")</f>
        <v>Yes</v>
      </c>
      <c r="T40" s="22">
        <f ca="1">Tbl_Employee_Details[[#This Row],[Experience in SAREGAMA]]/((SUMIFS(Tbl_Employee_Details[Experience in SAREGAMA],Tbl_Employee_Details[Department],Tbl_Employee_Details[[#This Row],[Department]])))</f>
        <v>2.239013966739958E-2</v>
      </c>
    </row>
    <row r="41" spans="1:20" x14ac:dyDescent="0.3">
      <c r="A41" s="2">
        <v>106870</v>
      </c>
      <c r="B41" t="s">
        <v>142</v>
      </c>
      <c r="C41" t="s">
        <v>143</v>
      </c>
      <c r="D41" t="s">
        <v>933</v>
      </c>
      <c r="E41" s="3" t="s">
        <v>1152</v>
      </c>
      <c r="F41" s="4" t="s">
        <v>1153</v>
      </c>
      <c r="G41" t="s">
        <v>2506</v>
      </c>
      <c r="H41" t="s">
        <v>1154</v>
      </c>
      <c r="I41" s="12" t="s">
        <v>1155</v>
      </c>
      <c r="J41" s="12" t="s">
        <v>1156</v>
      </c>
      <c r="K41" t="s">
        <v>939</v>
      </c>
      <c r="L41" t="str">
        <f>_xlfn.CONCAT(Tbl_Employee_Details[[#This Row],[First Name]],".",Tbl_Employee_Details[[#This Row],[Last Name]],"@saregama.com")</f>
        <v>Alberik.Denton@saregama.com</v>
      </c>
      <c r="M41" s="6">
        <f ca="1">(TODAY() - 'Employee Onboarding'!E41)/365.25</f>
        <v>5.1334702258726903</v>
      </c>
      <c r="N41">
        <v>578261</v>
      </c>
      <c r="O41" s="13" t="s">
        <v>63</v>
      </c>
      <c r="P41" s="6">
        <f ca="1">YEARFRAC(Tbl_Employee_Details[[#This Row],[Date of Birth]],TODAY())</f>
        <v>20.558333333333334</v>
      </c>
      <c r="Q41" s="13" t="s">
        <v>957</v>
      </c>
      <c r="R41" s="2" t="s">
        <v>949</v>
      </c>
      <c r="S41" s="11" t="str">
        <f>IF(ISNA(VLOOKUP(A41,Tbl_Exit_Formalities[Employee ID],1,FALSE)), "No", "Yes")</f>
        <v>No</v>
      </c>
      <c r="T41" s="22">
        <f ca="1">Tbl_Employee_Details[[#This Row],[Experience in SAREGAMA]]/((SUMIFS(Tbl_Employee_Details[Experience in SAREGAMA],Tbl_Employee_Details[Department],Tbl_Employee_Details[[#This Row],[Department]])))</f>
        <v>3.4144298357431623E-2</v>
      </c>
    </row>
    <row r="42" spans="1:20" x14ac:dyDescent="0.3">
      <c r="A42" s="2">
        <v>107149</v>
      </c>
      <c r="B42" t="s">
        <v>145</v>
      </c>
      <c r="C42" t="s">
        <v>146</v>
      </c>
      <c r="D42" t="s">
        <v>950</v>
      </c>
      <c r="E42" s="3" t="s">
        <v>1157</v>
      </c>
      <c r="F42" s="4" t="s">
        <v>1158</v>
      </c>
      <c r="G42" t="s">
        <v>2507</v>
      </c>
      <c r="H42" t="s">
        <v>1159</v>
      </c>
      <c r="I42" s="12" t="s">
        <v>1160</v>
      </c>
      <c r="J42" s="12" t="s">
        <v>1161</v>
      </c>
      <c r="K42" t="s">
        <v>939</v>
      </c>
      <c r="L42" t="str">
        <f>_xlfn.CONCAT(Tbl_Employee_Details[[#This Row],[First Name]],".",Tbl_Employee_Details[[#This Row],[Last Name]],"@saregama.com")</f>
        <v>Nesta.Beccles@saregama.com</v>
      </c>
      <c r="M42" s="6">
        <f ca="1">(TODAY() - 'Employee Onboarding'!E42)/365.25</f>
        <v>1.3442847364818618</v>
      </c>
      <c r="N42">
        <v>491660</v>
      </c>
      <c r="O42" s="13" t="s">
        <v>22</v>
      </c>
      <c r="P42" s="6">
        <f ca="1">YEARFRAC(Tbl_Employee_Details[[#This Row],[Date of Birth]],TODAY())</f>
        <v>40.536111111111111</v>
      </c>
      <c r="Q42" s="13" t="s">
        <v>964</v>
      </c>
      <c r="R42" s="2" t="s">
        <v>965</v>
      </c>
      <c r="S42" s="11" t="str">
        <f>IF(ISNA(VLOOKUP(A42,Tbl_Exit_Formalities[Employee ID],1,FALSE)), "No", "Yes")</f>
        <v>No</v>
      </c>
      <c r="T42" s="22">
        <f ca="1">Tbl_Employee_Details[[#This Row],[Experience in SAREGAMA]]/((SUMIFS(Tbl_Employee_Details[Experience in SAREGAMA],Tbl_Employee_Details[Department],Tbl_Employee_Details[[#This Row],[Department]])))</f>
        <v>3.8013688024526953E-3</v>
      </c>
    </row>
    <row r="43" spans="1:20" x14ac:dyDescent="0.3">
      <c r="A43" s="2">
        <v>103337</v>
      </c>
      <c r="B43" t="s">
        <v>148</v>
      </c>
      <c r="C43" t="s">
        <v>149</v>
      </c>
      <c r="D43" t="s">
        <v>950</v>
      </c>
      <c r="E43" s="3" t="s">
        <v>1162</v>
      </c>
      <c r="F43" s="4" t="s">
        <v>1163</v>
      </c>
      <c r="G43" t="s">
        <v>2508</v>
      </c>
      <c r="H43" t="s">
        <v>1164</v>
      </c>
      <c r="I43" s="12" t="s">
        <v>1165</v>
      </c>
      <c r="J43" s="12" t="s">
        <v>1166</v>
      </c>
      <c r="K43" t="s">
        <v>1013</v>
      </c>
      <c r="L43" t="str">
        <f>_xlfn.CONCAT(Tbl_Employee_Details[[#This Row],[First Name]],".",Tbl_Employee_Details[[#This Row],[Last Name]],"@saregama.com")</f>
        <v>Libbi.O'Farris@saregama.com</v>
      </c>
      <c r="M43" s="6">
        <f ca="1">(TODAY() - 'Employee Onboarding'!E43)/365.25</f>
        <v>6.0971937029431897</v>
      </c>
      <c r="N43">
        <v>583495</v>
      </c>
      <c r="O43" s="13" t="s">
        <v>63</v>
      </c>
      <c r="P43" s="6">
        <f ca="1">YEARFRAC(Tbl_Employee_Details[[#This Row],[Date of Birth]],TODAY())</f>
        <v>18.511111111111113</v>
      </c>
      <c r="Q43" s="13" t="s">
        <v>940</v>
      </c>
      <c r="R43" s="2" t="s">
        <v>1019</v>
      </c>
      <c r="S43" s="11" t="str">
        <f>IF(ISNA(VLOOKUP(A43,Tbl_Exit_Formalities[Employee ID],1,FALSE)), "No", "Yes")</f>
        <v>No</v>
      </c>
      <c r="T43" s="22">
        <f ca="1">Tbl_Employee_Details[[#This Row],[Experience in SAREGAMA]]/((SUMIFS(Tbl_Employee_Details[Experience in SAREGAMA],Tbl_Employee_Details[Department],Tbl_Employee_Details[[#This Row],[Department]])))</f>
        <v>1.9673666263240189E-2</v>
      </c>
    </row>
    <row r="44" spans="1:20" x14ac:dyDescent="0.3">
      <c r="A44" s="2">
        <v>106089</v>
      </c>
      <c r="B44" t="s">
        <v>151</v>
      </c>
      <c r="C44" t="s">
        <v>152</v>
      </c>
      <c r="D44" t="s">
        <v>933</v>
      </c>
      <c r="E44" s="3" t="s">
        <v>1167</v>
      </c>
      <c r="F44" s="4" t="s">
        <v>1168</v>
      </c>
      <c r="G44" t="s">
        <v>2486</v>
      </c>
      <c r="H44" t="s">
        <v>1169</v>
      </c>
      <c r="I44" s="12" t="s">
        <v>1170</v>
      </c>
      <c r="J44" s="12" t="s">
        <v>1171</v>
      </c>
      <c r="K44" t="s">
        <v>947</v>
      </c>
      <c r="L44" t="str">
        <f>_xlfn.CONCAT(Tbl_Employee_Details[[#This Row],[First Name]],".",Tbl_Employee_Details[[#This Row],[Last Name]],"@saregama.com")</f>
        <v>Shay.Valti@saregama.com</v>
      </c>
      <c r="M44" s="6">
        <f ca="1">(TODAY() - 'Employee Onboarding'!E44)/365.25</f>
        <v>26.598220396988363</v>
      </c>
      <c r="N44">
        <v>161620</v>
      </c>
      <c r="O44" s="13" t="s">
        <v>42</v>
      </c>
      <c r="P44" s="6">
        <f ca="1">YEARFRAC(Tbl_Employee_Details[[#This Row],[Date of Birth]],TODAY())</f>
        <v>28.758333333333333</v>
      </c>
      <c r="Q44" s="13" t="s">
        <v>964</v>
      </c>
      <c r="R44" s="2" t="s">
        <v>977</v>
      </c>
      <c r="S44" s="11" t="str">
        <f>IF(ISNA(VLOOKUP(A44,Tbl_Exit_Formalities[Employee ID],1,FALSE)), "No", "Yes")</f>
        <v>No</v>
      </c>
      <c r="T44" s="22">
        <f ca="1">Tbl_Employee_Details[[#This Row],[Experience in SAREGAMA]]/((SUMIFS(Tbl_Employee_Details[Experience in SAREGAMA],Tbl_Employee_Details[Department],Tbl_Employee_Details[[#This Row],[Department]])))</f>
        <v>7.5214456040382752E-2</v>
      </c>
    </row>
    <row r="45" spans="1:20" x14ac:dyDescent="0.3">
      <c r="A45" s="2">
        <v>102817</v>
      </c>
      <c r="B45" t="s">
        <v>154</v>
      </c>
      <c r="C45" t="s">
        <v>155</v>
      </c>
      <c r="D45" t="s">
        <v>950</v>
      </c>
      <c r="E45" s="3" t="s">
        <v>1172</v>
      </c>
      <c r="F45" s="4" t="s">
        <v>1173</v>
      </c>
      <c r="G45" t="s">
        <v>2482</v>
      </c>
      <c r="H45" t="s">
        <v>1174</v>
      </c>
      <c r="I45" s="12" t="s">
        <v>1175</v>
      </c>
      <c r="J45" s="12" t="s">
        <v>1176</v>
      </c>
      <c r="K45" t="s">
        <v>983</v>
      </c>
      <c r="L45" t="str">
        <f>_xlfn.CONCAT(Tbl_Employee_Details[[#This Row],[First Name]],".",Tbl_Employee_Details[[#This Row],[Last Name]],"@saregama.com")</f>
        <v>Clari.Milkins@saregama.com</v>
      </c>
      <c r="M45" s="6">
        <f ca="1">(TODAY() - 'Employee Onboarding'!E45)/365.25</f>
        <v>2.3408624229979464</v>
      </c>
      <c r="N45">
        <v>357824</v>
      </c>
      <c r="O45" s="13" t="s">
        <v>22</v>
      </c>
      <c r="P45" s="6">
        <f ca="1">YEARFRAC(Tbl_Employee_Details[[#This Row],[Date of Birth]],TODAY())</f>
        <v>30.511111111111113</v>
      </c>
      <c r="Q45" s="13" t="s">
        <v>964</v>
      </c>
      <c r="R45" s="2" t="s">
        <v>958</v>
      </c>
      <c r="S45" s="11" t="str">
        <f>IF(ISNA(VLOOKUP(A45,Tbl_Exit_Formalities[Employee ID],1,FALSE)), "No", "Yes")</f>
        <v>No</v>
      </c>
      <c r="T45" s="22">
        <f ca="1">Tbl_Employee_Details[[#This Row],[Experience in SAREGAMA]]/((SUMIFS(Tbl_Employee_Details[Experience in SAREGAMA],Tbl_Employee_Details[Department],Tbl_Employee_Details[[#This Row],[Department]])))</f>
        <v>6.6194914991793367E-3</v>
      </c>
    </row>
    <row r="46" spans="1:20" x14ac:dyDescent="0.3">
      <c r="A46" s="2">
        <v>102471</v>
      </c>
      <c r="B46" t="s">
        <v>157</v>
      </c>
      <c r="C46" t="s">
        <v>158</v>
      </c>
      <c r="D46" t="s">
        <v>950</v>
      </c>
      <c r="E46" s="3" t="s">
        <v>1177</v>
      </c>
      <c r="F46" s="4" t="s">
        <v>1178</v>
      </c>
      <c r="G46" t="s">
        <v>2563</v>
      </c>
      <c r="H46" t="s">
        <v>1179</v>
      </c>
      <c r="I46" s="12" t="s">
        <v>1180</v>
      </c>
      <c r="J46" s="12" t="s">
        <v>1181</v>
      </c>
      <c r="K46" t="s">
        <v>956</v>
      </c>
      <c r="L46" t="str">
        <f>_xlfn.CONCAT(Tbl_Employee_Details[[#This Row],[First Name]],".",Tbl_Employee_Details[[#This Row],[Last Name]],"@saregama.com")</f>
        <v>Deni.Perrinchief@saregama.com</v>
      </c>
      <c r="M46" s="6">
        <f ca="1">(TODAY() - 'Employee Onboarding'!E46)/365.25</f>
        <v>7.4661190965092405</v>
      </c>
      <c r="N46">
        <v>319597</v>
      </c>
      <c r="O46" s="13" t="s">
        <v>35</v>
      </c>
      <c r="P46" s="6">
        <f ca="1">YEARFRAC(Tbl_Employee_Details[[#This Row],[Date of Birth]],TODAY())</f>
        <v>42.43611111111111</v>
      </c>
      <c r="Q46" s="13" t="s">
        <v>964</v>
      </c>
      <c r="R46" s="2" t="s">
        <v>1019</v>
      </c>
      <c r="S46" s="11" t="str">
        <f>IF(ISNA(VLOOKUP(A46,Tbl_Exit_Formalities[Employee ID],1,FALSE)), "No", "Yes")</f>
        <v>No</v>
      </c>
      <c r="T46" s="22">
        <f ca="1">Tbl_Employee_Details[[#This Row],[Experience in SAREGAMA]]/((SUMIFS(Tbl_Employee_Details[Experience in SAREGAMA],Tbl_Employee_Details[Department],Tbl_Employee_Details[[#This Row],[Department]])))</f>
        <v>2.1112693939487781E-2</v>
      </c>
    </row>
    <row r="47" spans="1:20" x14ac:dyDescent="0.3">
      <c r="A47" s="2">
        <v>102200</v>
      </c>
      <c r="B47" t="s">
        <v>160</v>
      </c>
      <c r="C47" t="s">
        <v>161</v>
      </c>
      <c r="D47" t="s">
        <v>950</v>
      </c>
      <c r="E47" s="3" t="s">
        <v>1182</v>
      </c>
      <c r="F47" s="4" t="s">
        <v>1183</v>
      </c>
      <c r="G47" t="s">
        <v>2563</v>
      </c>
      <c r="H47" t="s">
        <v>1184</v>
      </c>
      <c r="I47" s="12" t="s">
        <v>1185</v>
      </c>
      <c r="J47" s="12" t="s">
        <v>1186</v>
      </c>
      <c r="K47" t="s">
        <v>947</v>
      </c>
      <c r="L47" t="str">
        <f>_xlfn.CONCAT(Tbl_Employee_Details[[#This Row],[First Name]],".",Tbl_Employee_Details[[#This Row],[Last Name]],"@saregama.com")</f>
        <v>Celisse.Suthworth@saregama.com</v>
      </c>
      <c r="M47" s="6">
        <f ca="1">(TODAY() - 'Employee Onboarding'!E47)/365.25</f>
        <v>20.892539356605067</v>
      </c>
      <c r="N47">
        <v>112456</v>
      </c>
      <c r="O47" s="13" t="s">
        <v>13</v>
      </c>
      <c r="P47" s="6">
        <f ca="1">YEARFRAC(Tbl_Employee_Details[[#This Row],[Date of Birth]],TODAY())</f>
        <v>29.769444444444446</v>
      </c>
      <c r="Q47" s="13" t="s">
        <v>964</v>
      </c>
      <c r="R47" s="2" t="s">
        <v>958</v>
      </c>
      <c r="S47" s="11" t="str">
        <f>IF(ISNA(VLOOKUP(A47,Tbl_Exit_Formalities[Employee ID],1,FALSE)), "No", "Yes")</f>
        <v>No</v>
      </c>
      <c r="T47" s="22">
        <f ca="1">Tbl_Employee_Details[[#This Row],[Experience in SAREGAMA]]/((SUMIFS(Tbl_Employee_Details[Experience in SAREGAMA],Tbl_Employee_Details[Department],Tbl_Employee_Details[[#This Row],[Department]])))</f>
        <v>5.9079929392090669E-2</v>
      </c>
    </row>
    <row r="48" spans="1:20" x14ac:dyDescent="0.3">
      <c r="A48" s="2">
        <v>107927</v>
      </c>
      <c r="B48" t="s">
        <v>163</v>
      </c>
      <c r="C48" t="s">
        <v>164</v>
      </c>
      <c r="D48" t="s">
        <v>933</v>
      </c>
      <c r="E48" s="3" t="s">
        <v>1187</v>
      </c>
      <c r="F48" s="4" t="s">
        <v>1188</v>
      </c>
      <c r="G48" t="s">
        <v>2489</v>
      </c>
      <c r="H48" t="s">
        <v>1189</v>
      </c>
      <c r="I48" s="12" t="s">
        <v>1190</v>
      </c>
      <c r="J48" s="12" t="s">
        <v>1191</v>
      </c>
      <c r="K48" t="s">
        <v>939</v>
      </c>
      <c r="L48" t="str">
        <f>_xlfn.CONCAT(Tbl_Employee_Details[[#This Row],[First Name]],".",Tbl_Employee_Details[[#This Row],[Last Name]],"@saregama.com")</f>
        <v>Derrik.Gaber@saregama.com</v>
      </c>
      <c r="M48" s="6">
        <f ca="1">(TODAY() - 'Employee Onboarding'!E48)/365.25</f>
        <v>28.618754277891856</v>
      </c>
      <c r="N48">
        <v>368611</v>
      </c>
      <c r="O48" s="13" t="s">
        <v>85</v>
      </c>
      <c r="P48" s="6">
        <f ca="1">YEARFRAC(Tbl_Employee_Details[[#This Row],[Date of Birth]],TODAY())</f>
        <v>38.080555555555556</v>
      </c>
      <c r="Q48" s="13" t="s">
        <v>964</v>
      </c>
      <c r="R48" s="2" t="s">
        <v>949</v>
      </c>
      <c r="S48" s="11" t="str">
        <f>IF(ISNA(VLOOKUP(A48,Tbl_Exit_Formalities[Employee ID],1,FALSE)), "No", "Yes")</f>
        <v>Yes</v>
      </c>
      <c r="T48" s="22">
        <f ca="1">Tbl_Employee_Details[[#This Row],[Experience in SAREGAMA]]/((SUMIFS(Tbl_Employee_Details[Experience in SAREGAMA],Tbl_Employee_Details[Department],Tbl_Employee_Details[[#This Row],[Department]])))</f>
        <v>8.092812238704282E-2</v>
      </c>
    </row>
    <row r="49" spans="1:20" x14ac:dyDescent="0.3">
      <c r="A49" s="2">
        <v>103988</v>
      </c>
      <c r="B49" t="s">
        <v>166</v>
      </c>
      <c r="C49" t="s">
        <v>167</v>
      </c>
      <c r="D49" t="s">
        <v>950</v>
      </c>
      <c r="E49" s="3" t="s">
        <v>1192</v>
      </c>
      <c r="F49" s="4" t="s">
        <v>1193</v>
      </c>
      <c r="G49" t="s">
        <v>2509</v>
      </c>
      <c r="H49" t="s">
        <v>1194</v>
      </c>
      <c r="I49" s="12" t="s">
        <v>1195</v>
      </c>
      <c r="J49" s="12" t="s">
        <v>1196</v>
      </c>
      <c r="K49" t="s">
        <v>1013</v>
      </c>
      <c r="L49" t="str">
        <f>_xlfn.CONCAT(Tbl_Employee_Details[[#This Row],[First Name]],".",Tbl_Employee_Details[[#This Row],[Last Name]],"@saregama.com")</f>
        <v>Rayna.Drioli@saregama.com</v>
      </c>
      <c r="M49" s="6">
        <f ca="1">(TODAY() - 'Employee Onboarding'!E49)/365.25</f>
        <v>8.7583846680355926</v>
      </c>
      <c r="N49">
        <v>440965</v>
      </c>
      <c r="O49" s="13" t="s">
        <v>22</v>
      </c>
      <c r="P49" s="6">
        <f ca="1">YEARFRAC(Tbl_Employee_Details[[#This Row],[Date of Birth]],TODAY())</f>
        <v>30.047222222222221</v>
      </c>
      <c r="Q49" s="13" t="s">
        <v>964</v>
      </c>
      <c r="R49" s="2" t="s">
        <v>949</v>
      </c>
      <c r="S49" s="11" t="str">
        <f>IF(ISNA(VLOOKUP(A49,Tbl_Exit_Formalities[Employee ID],1,FALSE)), "No", "Yes")</f>
        <v>No</v>
      </c>
      <c r="T49" s="22">
        <f ca="1">Tbl_Employee_Details[[#This Row],[Experience in SAREGAMA]]/((SUMIFS(Tbl_Employee_Details[Experience in SAREGAMA],Tbl_Employee_Details[Department],Tbl_Employee_Details[[#This Row],[Department]])))</f>
        <v>2.47669629308476E-2</v>
      </c>
    </row>
    <row r="50" spans="1:20" x14ac:dyDescent="0.3">
      <c r="A50" s="2">
        <v>102641</v>
      </c>
      <c r="B50" t="s">
        <v>169</v>
      </c>
      <c r="C50" t="s">
        <v>170</v>
      </c>
      <c r="D50" t="s">
        <v>950</v>
      </c>
      <c r="E50" s="3" t="s">
        <v>1197</v>
      </c>
      <c r="F50" s="4" t="s">
        <v>1198</v>
      </c>
      <c r="G50" t="s">
        <v>2486</v>
      </c>
      <c r="H50" t="s">
        <v>1199</v>
      </c>
      <c r="I50" s="12" t="s">
        <v>1200</v>
      </c>
      <c r="J50" s="12" t="s">
        <v>1201</v>
      </c>
      <c r="K50" t="s">
        <v>989</v>
      </c>
      <c r="L50" t="str">
        <f>_xlfn.CONCAT(Tbl_Employee_Details[[#This Row],[First Name]],".",Tbl_Employee_Details[[#This Row],[Last Name]],"@saregama.com")</f>
        <v>Celestyna.Penvarne@saregama.com</v>
      </c>
      <c r="M50" s="6">
        <f ca="1">(TODAY() - 'Employee Onboarding'!E50)/365.25</f>
        <v>13.645448323066393</v>
      </c>
      <c r="N50">
        <v>482963</v>
      </c>
      <c r="O50" s="13" t="s">
        <v>85</v>
      </c>
      <c r="P50" s="6">
        <f ca="1">YEARFRAC(Tbl_Employee_Details[[#This Row],[Date of Birth]],TODAY())</f>
        <v>20.594444444444445</v>
      </c>
      <c r="Q50" s="13" t="s">
        <v>964</v>
      </c>
      <c r="R50" s="2" t="s">
        <v>949</v>
      </c>
      <c r="S50" s="11" t="str">
        <f>IF(ISNA(VLOOKUP(A50,Tbl_Exit_Formalities[Employee ID],1,FALSE)), "No", "Yes")</f>
        <v>No</v>
      </c>
      <c r="T50" s="22">
        <f ca="1">Tbl_Employee_Details[[#This Row],[Experience in SAREGAMA]]/((SUMIFS(Tbl_Employee_Details[Experience in SAREGAMA],Tbl_Employee_Details[Department],Tbl_Employee_Details[[#This Row],[Department]])))</f>
        <v>3.8586603078257092E-2</v>
      </c>
    </row>
    <row r="51" spans="1:20" x14ac:dyDescent="0.3">
      <c r="A51" s="2">
        <v>105108</v>
      </c>
      <c r="B51" t="s">
        <v>172</v>
      </c>
      <c r="C51" t="s">
        <v>173</v>
      </c>
      <c r="D51" t="s">
        <v>933</v>
      </c>
      <c r="E51" s="3" t="s">
        <v>1202</v>
      </c>
      <c r="F51" s="4" t="s">
        <v>1203</v>
      </c>
      <c r="G51" t="s">
        <v>2508</v>
      </c>
      <c r="H51" t="s">
        <v>1204</v>
      </c>
      <c r="I51" s="12" t="s">
        <v>1205</v>
      </c>
      <c r="J51" s="12" t="s">
        <v>1206</v>
      </c>
      <c r="K51" t="s">
        <v>956</v>
      </c>
      <c r="L51" t="str">
        <f>_xlfn.CONCAT(Tbl_Employee_Details[[#This Row],[First Name]],".",Tbl_Employee_Details[[#This Row],[Last Name]],"@saregama.com")</f>
        <v>Gaven.Sindle@saregama.com</v>
      </c>
      <c r="M51" s="6">
        <f ca="1">(TODAY() - 'Employee Onboarding'!E51)/365.25</f>
        <v>2.5954825462012319</v>
      </c>
      <c r="N51">
        <v>118156</v>
      </c>
      <c r="O51" s="13" t="s">
        <v>13</v>
      </c>
      <c r="P51" s="6">
        <f ca="1">YEARFRAC(Tbl_Employee_Details[[#This Row],[Date of Birth]],TODAY())</f>
        <v>20.416666666666668</v>
      </c>
      <c r="Q51" s="13" t="s">
        <v>964</v>
      </c>
      <c r="R51" s="2" t="s">
        <v>949</v>
      </c>
      <c r="S51" s="11" t="str">
        <f>IF(ISNA(VLOOKUP(A51,Tbl_Exit_Formalities[Employee ID],1,FALSE)), "No", "Yes")</f>
        <v>No</v>
      </c>
      <c r="T51" s="22">
        <f ca="1">Tbl_Employee_Details[[#This Row],[Experience in SAREGAMA]]/((SUMIFS(Tbl_Employee_Details[Experience in SAREGAMA],Tbl_Employee_Details[Department],Tbl_Employee_Details[[#This Row],[Department]])))</f>
        <v>7.3395063640023517E-3</v>
      </c>
    </row>
    <row r="52" spans="1:20" x14ac:dyDescent="0.3">
      <c r="A52" s="2">
        <v>102988</v>
      </c>
      <c r="B52" t="s">
        <v>175</v>
      </c>
      <c r="C52" t="s">
        <v>176</v>
      </c>
      <c r="D52" t="s">
        <v>950</v>
      </c>
      <c r="E52" s="3" t="s">
        <v>1207</v>
      </c>
      <c r="F52" s="4" t="s">
        <v>1208</v>
      </c>
      <c r="G52" t="s">
        <v>2510</v>
      </c>
      <c r="H52" t="s">
        <v>1209</v>
      </c>
      <c r="I52" s="12" t="s">
        <v>1210</v>
      </c>
      <c r="J52" s="12" t="s">
        <v>1211</v>
      </c>
      <c r="K52" t="s">
        <v>1066</v>
      </c>
      <c r="L52" t="str">
        <f>_xlfn.CONCAT(Tbl_Employee_Details[[#This Row],[First Name]],".",Tbl_Employee_Details[[#This Row],[Last Name]],"@saregama.com")</f>
        <v>Mirabel.Storrie@saregama.com</v>
      </c>
      <c r="M52" s="6">
        <f ca="1">(TODAY() - 'Employee Onboarding'!E52)/365.25</f>
        <v>20.268309377138944</v>
      </c>
      <c r="N52">
        <v>453817</v>
      </c>
      <c r="O52" s="13" t="s">
        <v>85</v>
      </c>
      <c r="P52" s="6">
        <f ca="1">YEARFRAC(Tbl_Employee_Details[[#This Row],[Date of Birth]],TODAY())</f>
        <v>29.277777777777779</v>
      </c>
      <c r="Q52" s="13" t="s">
        <v>940</v>
      </c>
      <c r="R52" s="2" t="s">
        <v>996</v>
      </c>
      <c r="S52" s="11" t="str">
        <f>IF(ISNA(VLOOKUP(A52,Tbl_Exit_Formalities[Employee ID],1,FALSE)), "No", "Yes")</f>
        <v>No</v>
      </c>
      <c r="T52" s="22">
        <f ca="1">Tbl_Employee_Details[[#This Row],[Experience in SAREGAMA]]/((SUMIFS(Tbl_Employee_Details[Experience in SAREGAMA],Tbl_Employee_Details[Department],Tbl_Employee_Details[[#This Row],[Department]])))</f>
        <v>6.5399259697695153E-2</v>
      </c>
    </row>
    <row r="53" spans="1:20" x14ac:dyDescent="0.3">
      <c r="A53" s="2">
        <v>106839</v>
      </c>
      <c r="B53" t="s">
        <v>178</v>
      </c>
      <c r="C53" t="s">
        <v>179</v>
      </c>
      <c r="D53" t="s">
        <v>933</v>
      </c>
      <c r="E53" s="3" t="s">
        <v>1212</v>
      </c>
      <c r="F53" s="4" t="s">
        <v>1213</v>
      </c>
      <c r="G53" t="s">
        <v>2491</v>
      </c>
      <c r="H53" t="s">
        <v>1214</v>
      </c>
      <c r="I53" s="12" t="s">
        <v>1215</v>
      </c>
      <c r="J53" s="12" t="s">
        <v>1216</v>
      </c>
      <c r="K53" t="s">
        <v>947</v>
      </c>
      <c r="L53" t="str">
        <f>_xlfn.CONCAT(Tbl_Employee_Details[[#This Row],[First Name]],".",Tbl_Employee_Details[[#This Row],[Last Name]],"@saregama.com")</f>
        <v>Blair.Duiguid@saregama.com</v>
      </c>
      <c r="M53" s="6">
        <f ca="1">(TODAY() - 'Employee Onboarding'!E53)/365.25</f>
        <v>13.357973990417522</v>
      </c>
      <c r="N53">
        <v>114483</v>
      </c>
      <c r="O53" s="13" t="s">
        <v>46</v>
      </c>
      <c r="P53" s="6">
        <f ca="1">YEARFRAC(Tbl_Employee_Details[[#This Row],[Date of Birth]],TODAY())</f>
        <v>20.43611111111111</v>
      </c>
      <c r="Q53" s="13" t="s">
        <v>940</v>
      </c>
      <c r="R53" s="2" t="s">
        <v>958</v>
      </c>
      <c r="S53" s="11" t="str">
        <f>IF(ISNA(VLOOKUP(A53,Tbl_Exit_Formalities[Employee ID],1,FALSE)), "No", "Yes")</f>
        <v>No</v>
      </c>
      <c r="T53" s="22">
        <f ca="1">Tbl_Employee_Details[[#This Row],[Experience in SAREGAMA]]/((SUMIFS(Tbl_Employee_Details[Experience in SAREGAMA],Tbl_Employee_Details[Department],Tbl_Employee_Details[[#This Row],[Department]])))</f>
        <v>4.310184898893079E-2</v>
      </c>
    </row>
    <row r="54" spans="1:20" x14ac:dyDescent="0.3">
      <c r="A54" s="2">
        <v>102987</v>
      </c>
      <c r="B54" t="s">
        <v>181</v>
      </c>
      <c r="C54" t="s">
        <v>182</v>
      </c>
      <c r="D54" t="s">
        <v>933</v>
      </c>
      <c r="E54" s="3" t="s">
        <v>1217</v>
      </c>
      <c r="F54" s="4" t="s">
        <v>1218</v>
      </c>
      <c r="G54" t="s">
        <v>2489</v>
      </c>
      <c r="H54" t="s">
        <v>1219</v>
      </c>
      <c r="I54" s="12" t="s">
        <v>1220</v>
      </c>
      <c r="J54" s="12" t="s">
        <v>1221</v>
      </c>
      <c r="K54" t="s">
        <v>939</v>
      </c>
      <c r="L54" t="str">
        <f>_xlfn.CONCAT(Tbl_Employee_Details[[#This Row],[First Name]],".",Tbl_Employee_Details[[#This Row],[Last Name]],"@saregama.com")</f>
        <v>Skyler.Sanger@saregama.com</v>
      </c>
      <c r="M54" s="6">
        <f ca="1">(TODAY() - 'Employee Onboarding'!E54)/365.25</f>
        <v>18.507871321013006</v>
      </c>
      <c r="N54">
        <v>119166</v>
      </c>
      <c r="O54" s="13" t="s">
        <v>113</v>
      </c>
      <c r="P54" s="6">
        <f ca="1">YEARFRAC(Tbl_Employee_Details[[#This Row],[Date of Birth]],TODAY())</f>
        <v>22.138888888888889</v>
      </c>
      <c r="Q54" s="13" t="s">
        <v>940</v>
      </c>
      <c r="R54" s="2" t="s">
        <v>996</v>
      </c>
      <c r="S54" s="11" t="str">
        <f>IF(ISNA(VLOOKUP(A54,Tbl_Exit_Formalities[Employee ID],1,FALSE)), "No", "Yes")</f>
        <v>No</v>
      </c>
      <c r="T54" s="22">
        <f ca="1">Tbl_Employee_Details[[#This Row],[Experience in SAREGAMA]]/((SUMIFS(Tbl_Employee_Details[Experience in SAREGAMA],Tbl_Employee_Details[Department],Tbl_Employee_Details[[#This Row],[Department]])))</f>
        <v>5.9718897143917239E-2</v>
      </c>
    </row>
    <row r="55" spans="1:20" x14ac:dyDescent="0.3">
      <c r="A55" s="2">
        <v>105840</v>
      </c>
      <c r="B55" t="s">
        <v>184</v>
      </c>
      <c r="C55" t="s">
        <v>185</v>
      </c>
      <c r="D55" t="s">
        <v>933</v>
      </c>
      <c r="E55" s="3" t="s">
        <v>1222</v>
      </c>
      <c r="F55" s="4" t="s">
        <v>1223</v>
      </c>
      <c r="G55" t="s">
        <v>2511</v>
      </c>
      <c r="H55" t="s">
        <v>1224</v>
      </c>
      <c r="I55" s="12" t="s">
        <v>1225</v>
      </c>
      <c r="J55" s="12" t="s">
        <v>1226</v>
      </c>
      <c r="K55" t="s">
        <v>983</v>
      </c>
      <c r="L55" t="str">
        <f>_xlfn.CONCAT(Tbl_Employee_Details[[#This Row],[First Name]],".",Tbl_Employee_Details[[#This Row],[Last Name]],"@saregama.com")</f>
        <v>Michal.Bradtke@saregama.com</v>
      </c>
      <c r="M55" s="6">
        <f ca="1">(TODAY() - 'Employee Onboarding'!E55)/365.25</f>
        <v>17.924709103353866</v>
      </c>
      <c r="N55">
        <v>451555</v>
      </c>
      <c r="O55" s="13" t="s">
        <v>22</v>
      </c>
      <c r="P55" s="6">
        <f ca="1">YEARFRAC(Tbl_Employee_Details[[#This Row],[Date of Birth]],TODAY())</f>
        <v>44.174999999999997</v>
      </c>
      <c r="Q55" s="13" t="s">
        <v>940</v>
      </c>
      <c r="R55" s="2" t="s">
        <v>958</v>
      </c>
      <c r="S55" s="11" t="str">
        <f>IF(ISNA(VLOOKUP(A55,Tbl_Exit_Formalities[Employee ID],1,FALSE)), "No", "Yes")</f>
        <v>Yes</v>
      </c>
      <c r="T55" s="22">
        <f ca="1">Tbl_Employee_Details[[#This Row],[Experience in SAREGAMA]]/((SUMIFS(Tbl_Employee_Details[Experience in SAREGAMA],Tbl_Employee_Details[Department],Tbl_Employee_Details[[#This Row],[Department]])))</f>
        <v>5.78372218345009E-2</v>
      </c>
    </row>
    <row r="56" spans="1:20" x14ac:dyDescent="0.3">
      <c r="A56" s="2">
        <v>107461</v>
      </c>
      <c r="B56" t="s">
        <v>187</v>
      </c>
      <c r="C56" t="s">
        <v>188</v>
      </c>
      <c r="D56" t="s">
        <v>950</v>
      </c>
      <c r="E56" s="3" t="s">
        <v>1227</v>
      </c>
      <c r="F56" s="4" t="s">
        <v>1228</v>
      </c>
      <c r="G56" t="s">
        <v>2512</v>
      </c>
      <c r="H56" t="s">
        <v>1229</v>
      </c>
      <c r="I56" s="12" t="s">
        <v>1230</v>
      </c>
      <c r="J56" s="12" t="s">
        <v>1231</v>
      </c>
      <c r="K56" t="s">
        <v>1013</v>
      </c>
      <c r="L56" t="str">
        <f>_xlfn.CONCAT(Tbl_Employee_Details[[#This Row],[First Name]],".",Tbl_Employee_Details[[#This Row],[Last Name]],"@saregama.com")</f>
        <v>Karil.Nassi@saregama.com</v>
      </c>
      <c r="M56" s="6">
        <f ca="1">(TODAY() - 'Employee Onboarding'!E56)/365.25</f>
        <v>7.0937713894592749</v>
      </c>
      <c r="N56">
        <v>107563</v>
      </c>
      <c r="O56" s="13" t="s">
        <v>13</v>
      </c>
      <c r="P56" s="6">
        <f ca="1">YEARFRAC(Tbl_Employee_Details[[#This Row],[Date of Birth]],TODAY())</f>
        <v>26.619444444444444</v>
      </c>
      <c r="Q56" s="13" t="s">
        <v>940</v>
      </c>
      <c r="R56" s="2" t="s">
        <v>941</v>
      </c>
      <c r="S56" s="11" t="str">
        <f>IF(ISNA(VLOOKUP(A56,Tbl_Exit_Formalities[Employee ID],1,FALSE)), "No", "Yes")</f>
        <v>No</v>
      </c>
      <c r="T56" s="22">
        <f ca="1">Tbl_Employee_Details[[#This Row],[Experience in SAREGAMA]]/((SUMIFS(Tbl_Employee_Details[Experience in SAREGAMA],Tbl_Employee_Details[Department],Tbl_Employee_Details[[#This Row],[Department]])))</f>
        <v>2.2889299186374196E-2</v>
      </c>
    </row>
    <row r="57" spans="1:20" x14ac:dyDescent="0.3">
      <c r="A57" s="2">
        <v>106009</v>
      </c>
      <c r="B57" t="s">
        <v>190</v>
      </c>
      <c r="C57" t="s">
        <v>191</v>
      </c>
      <c r="D57" t="s">
        <v>950</v>
      </c>
      <c r="E57" s="3" t="s">
        <v>1232</v>
      </c>
      <c r="F57" s="4" t="s">
        <v>1233</v>
      </c>
      <c r="G57" t="s">
        <v>2563</v>
      </c>
      <c r="H57" t="s">
        <v>1234</v>
      </c>
      <c r="I57" s="12" t="s">
        <v>1235</v>
      </c>
      <c r="J57" s="12" t="s">
        <v>1236</v>
      </c>
      <c r="K57" t="s">
        <v>983</v>
      </c>
      <c r="L57" t="str">
        <f>_xlfn.CONCAT(Tbl_Employee_Details[[#This Row],[First Name]],".",Tbl_Employee_Details[[#This Row],[Last Name]],"@saregama.com")</f>
        <v>Gratia.Hackford@saregama.com</v>
      </c>
      <c r="M57" s="6">
        <f ca="1">(TODAY() - 'Employee Onboarding'!E57)/365.25</f>
        <v>19.310061601642712</v>
      </c>
      <c r="N57">
        <v>577036</v>
      </c>
      <c r="O57" s="13" t="s">
        <v>129</v>
      </c>
      <c r="P57" s="6">
        <f ca="1">YEARFRAC(Tbl_Employee_Details[[#This Row],[Date of Birth]],TODAY())</f>
        <v>19.691666666666666</v>
      </c>
      <c r="Q57" s="13" t="s">
        <v>990</v>
      </c>
      <c r="R57" s="2" t="s">
        <v>958</v>
      </c>
      <c r="S57" s="11" t="str">
        <f>IF(ISNA(VLOOKUP(A57,Tbl_Exit_Formalities[Employee ID],1,FALSE)), "No", "Yes")</f>
        <v>No</v>
      </c>
      <c r="T57" s="22">
        <f ca="1">Tbl_Employee_Details[[#This Row],[Experience in SAREGAMA]]/((SUMIFS(Tbl_Employee_Details[Experience in SAREGAMA],Tbl_Employee_Details[Department],Tbl_Employee_Details[[#This Row],[Department]])))</f>
        <v>1.4314243616127421E-2</v>
      </c>
    </row>
    <row r="58" spans="1:20" x14ac:dyDescent="0.3">
      <c r="A58" s="2">
        <v>105007</v>
      </c>
      <c r="B58" t="s">
        <v>193</v>
      </c>
      <c r="C58" t="s">
        <v>194</v>
      </c>
      <c r="D58" t="s">
        <v>933</v>
      </c>
      <c r="E58" s="3" t="s">
        <v>1237</v>
      </c>
      <c r="F58" s="4" t="s">
        <v>1238</v>
      </c>
      <c r="G58" t="s">
        <v>2486</v>
      </c>
      <c r="H58" t="s">
        <v>1239</v>
      </c>
      <c r="I58" s="12" t="s">
        <v>1240</v>
      </c>
      <c r="J58" s="12" t="s">
        <v>1241</v>
      </c>
      <c r="K58" t="s">
        <v>939</v>
      </c>
      <c r="L58" t="str">
        <f>_xlfn.CONCAT(Tbl_Employee_Details[[#This Row],[First Name]],".",Tbl_Employee_Details[[#This Row],[Last Name]],"@saregama.com")</f>
        <v>Dwain.Pentecust@saregama.com</v>
      </c>
      <c r="M58" s="6">
        <f ca="1">(TODAY() - 'Employee Onboarding'!E58)/365.25</f>
        <v>15.356605065023956</v>
      </c>
      <c r="N58">
        <v>436267</v>
      </c>
      <c r="O58" s="13" t="s">
        <v>85</v>
      </c>
      <c r="P58" s="6">
        <f ca="1">YEARFRAC(Tbl_Employee_Details[[#This Row],[Date of Birth]],TODAY())</f>
        <v>24.083333333333332</v>
      </c>
      <c r="Q58" s="13" t="s">
        <v>940</v>
      </c>
      <c r="R58" s="2" t="s">
        <v>977</v>
      </c>
      <c r="S58" s="11" t="str">
        <f>IF(ISNA(VLOOKUP(A58,Tbl_Exit_Formalities[Employee ID],1,FALSE)), "No", "Yes")</f>
        <v>No</v>
      </c>
      <c r="T58" s="22">
        <f ca="1">Tbl_Employee_Details[[#This Row],[Experience in SAREGAMA]]/((SUMIFS(Tbl_Employee_Details[Experience in SAREGAMA],Tbl_Employee_Details[Department],Tbl_Employee_Details[[#This Row],[Department]])))</f>
        <v>4.9550783147963275E-2</v>
      </c>
    </row>
    <row r="59" spans="1:20" x14ac:dyDescent="0.3">
      <c r="A59" s="2">
        <v>103947</v>
      </c>
      <c r="B59" t="s">
        <v>196</v>
      </c>
      <c r="C59" t="s">
        <v>197</v>
      </c>
      <c r="D59" t="s">
        <v>933</v>
      </c>
      <c r="E59" s="3" t="s">
        <v>1242</v>
      </c>
      <c r="F59" s="4" t="s">
        <v>1243</v>
      </c>
      <c r="G59" t="s">
        <v>2513</v>
      </c>
      <c r="H59" t="s">
        <v>1244</v>
      </c>
      <c r="I59" s="12" t="s">
        <v>1245</v>
      </c>
      <c r="J59" s="12" t="s">
        <v>1246</v>
      </c>
      <c r="K59" t="s">
        <v>947</v>
      </c>
      <c r="L59" t="str">
        <f>_xlfn.CONCAT(Tbl_Employee_Details[[#This Row],[First Name]],".",Tbl_Employee_Details[[#This Row],[Last Name]],"@saregama.com")</f>
        <v>Seumas.Ianizzi@saregama.com</v>
      </c>
      <c r="M59" s="6">
        <f ca="1">(TODAY() - 'Employee Onboarding'!E59)/365.25</f>
        <v>15.507186858316222</v>
      </c>
      <c r="N59">
        <v>188344</v>
      </c>
      <c r="O59" s="13" t="s">
        <v>42</v>
      </c>
      <c r="P59" s="6">
        <f ca="1">YEARFRAC(Tbl_Employee_Details[[#This Row],[Date of Birth]],TODAY())</f>
        <v>20.622222222222224</v>
      </c>
      <c r="Q59" s="13" t="s">
        <v>940</v>
      </c>
      <c r="R59" s="2" t="s">
        <v>1002</v>
      </c>
      <c r="S59" s="11" t="str">
        <f>IF(ISNA(VLOOKUP(A59,Tbl_Exit_Formalities[Employee ID],1,FALSE)), "No", "Yes")</f>
        <v>No</v>
      </c>
      <c r="T59" s="22">
        <f ca="1">Tbl_Employee_Details[[#This Row],[Experience in SAREGAMA]]/((SUMIFS(Tbl_Employee_Details[Experience in SAREGAMA],Tbl_Employee_Details[Department],Tbl_Employee_Details[[#This Row],[Department]])))</f>
        <v>5.0036661748986272E-2</v>
      </c>
    </row>
    <row r="60" spans="1:20" x14ac:dyDescent="0.3">
      <c r="A60" s="2">
        <v>105841</v>
      </c>
      <c r="B60" t="s">
        <v>199</v>
      </c>
      <c r="C60" t="s">
        <v>200</v>
      </c>
      <c r="D60" t="s">
        <v>933</v>
      </c>
      <c r="E60" s="3" t="s">
        <v>1247</v>
      </c>
      <c r="F60" s="4" t="s">
        <v>1248</v>
      </c>
      <c r="G60" t="s">
        <v>2503</v>
      </c>
      <c r="H60" t="s">
        <v>1249</v>
      </c>
      <c r="I60" s="12" t="s">
        <v>1250</v>
      </c>
      <c r="J60" s="12" t="s">
        <v>1251</v>
      </c>
      <c r="K60" t="s">
        <v>989</v>
      </c>
      <c r="L60" t="str">
        <f>_xlfn.CONCAT(Tbl_Employee_Details[[#This Row],[First Name]],".",Tbl_Employee_Details[[#This Row],[Last Name]],"@saregama.com")</f>
        <v>Wiatt.Ridolfo@saregama.com</v>
      </c>
      <c r="M60" s="6">
        <f ca="1">(TODAY() - 'Employee Onboarding'!E60)/365.25</f>
        <v>15.24435318275154</v>
      </c>
      <c r="N60">
        <v>133064</v>
      </c>
      <c r="O60" s="13" t="s">
        <v>13</v>
      </c>
      <c r="P60" s="6">
        <f ca="1">YEARFRAC(Tbl_Employee_Details[[#This Row],[Date of Birth]],TODAY())</f>
        <v>26.572222222222223</v>
      </c>
      <c r="Q60" s="13" t="s">
        <v>940</v>
      </c>
      <c r="R60" s="2" t="s">
        <v>941</v>
      </c>
      <c r="S60" s="11" t="str">
        <f>IF(ISNA(VLOOKUP(A60,Tbl_Exit_Formalities[Employee ID],1,FALSE)), "No", "Yes")</f>
        <v>No</v>
      </c>
      <c r="T60" s="22">
        <f ca="1">Tbl_Employee_Details[[#This Row],[Experience in SAREGAMA]]/((SUMIFS(Tbl_Employee_Details[Experience in SAREGAMA],Tbl_Employee_Details[Department],Tbl_Employee_Details[[#This Row],[Department]])))</f>
        <v>4.9188582736291592E-2</v>
      </c>
    </row>
    <row r="61" spans="1:20" x14ac:dyDescent="0.3">
      <c r="A61" s="2">
        <v>107409</v>
      </c>
      <c r="B61" t="s">
        <v>202</v>
      </c>
      <c r="C61" t="s">
        <v>203</v>
      </c>
      <c r="D61" t="s">
        <v>950</v>
      </c>
      <c r="E61" s="3" t="s">
        <v>1252</v>
      </c>
      <c r="F61" s="4" t="s">
        <v>1253</v>
      </c>
      <c r="G61" t="s">
        <v>2514</v>
      </c>
      <c r="H61" t="s">
        <v>1254</v>
      </c>
      <c r="I61" s="12" t="s">
        <v>1255</v>
      </c>
      <c r="J61" s="12" t="s">
        <v>1256</v>
      </c>
      <c r="K61" t="s">
        <v>947</v>
      </c>
      <c r="L61" t="str">
        <f>_xlfn.CONCAT(Tbl_Employee_Details[[#This Row],[First Name]],".",Tbl_Employee_Details[[#This Row],[Last Name]],"@saregama.com")</f>
        <v>Clovis.Brewins@saregama.com</v>
      </c>
      <c r="M61" s="6">
        <f ca="1">(TODAY() - 'Employee Onboarding'!E61)/365.25</f>
        <v>32.887063655030801</v>
      </c>
      <c r="N61">
        <v>450272</v>
      </c>
      <c r="O61" s="13" t="s">
        <v>85</v>
      </c>
      <c r="P61" s="6">
        <f ca="1">YEARFRAC(Tbl_Employee_Details[[#This Row],[Date of Birth]],TODAY())</f>
        <v>34.347222222222221</v>
      </c>
      <c r="Q61" s="13" t="s">
        <v>940</v>
      </c>
      <c r="R61" s="2" t="s">
        <v>965</v>
      </c>
      <c r="S61" s="11" t="str">
        <f>IF(ISNA(VLOOKUP(A61,Tbl_Exit_Formalities[Employee ID],1,FALSE)), "No", "Yes")</f>
        <v>No</v>
      </c>
      <c r="T61" s="22">
        <f ca="1">Tbl_Employee_Details[[#This Row],[Experience in SAREGAMA]]/((SUMIFS(Tbl_Employee_Details[Experience in SAREGAMA],Tbl_Employee_Details[Department],Tbl_Employee_Details[[#This Row],[Department]])))</f>
        <v>0.10611588646342215</v>
      </c>
    </row>
    <row r="62" spans="1:20" x14ac:dyDescent="0.3">
      <c r="A62" s="2">
        <v>102352</v>
      </c>
      <c r="B62" t="s">
        <v>205</v>
      </c>
      <c r="C62" t="s">
        <v>206</v>
      </c>
      <c r="D62" t="s">
        <v>950</v>
      </c>
      <c r="E62" s="3" t="s">
        <v>1257</v>
      </c>
      <c r="F62" s="4" t="s">
        <v>1258</v>
      </c>
      <c r="G62" t="s">
        <v>2508</v>
      </c>
      <c r="H62" t="s">
        <v>1259</v>
      </c>
      <c r="I62" s="12" t="s">
        <v>1260</v>
      </c>
      <c r="J62" s="12" t="s">
        <v>1261</v>
      </c>
      <c r="K62" t="s">
        <v>1066</v>
      </c>
      <c r="L62" t="str">
        <f>_xlfn.CONCAT(Tbl_Employee_Details[[#This Row],[First Name]],".",Tbl_Employee_Details[[#This Row],[Last Name]],"@saregama.com")</f>
        <v>Doroteya.Pinches@saregama.com</v>
      </c>
      <c r="M62" s="6">
        <f ca="1">(TODAY() - 'Employee Onboarding'!E62)/365.25</f>
        <v>7.4031485284052021</v>
      </c>
      <c r="N62">
        <v>456284</v>
      </c>
      <c r="O62" s="13" t="s">
        <v>22</v>
      </c>
      <c r="P62" s="6">
        <f ca="1">YEARFRAC(Tbl_Employee_Details[[#This Row],[Date of Birth]],TODAY())</f>
        <v>19.43611111111111</v>
      </c>
      <c r="Q62" s="14" t="s">
        <v>1262</v>
      </c>
      <c r="R62" s="2" t="s">
        <v>996</v>
      </c>
      <c r="S62" s="11" t="str">
        <f>IF(ISNA(VLOOKUP(A62,Tbl_Exit_Formalities[Employee ID],1,FALSE)), "No", "Yes")</f>
        <v>No</v>
      </c>
      <c r="T62" s="22">
        <f ca="1">Tbl_Employee_Details[[#This Row],[Experience in SAREGAMA]]/((SUMIFS(Tbl_Employee_Details[Experience in SAREGAMA],Tbl_Employee_Details[Department],Tbl_Employee_Details[[#This Row],[Department]])))</f>
        <v>2.109270180036819E-2</v>
      </c>
    </row>
    <row r="63" spans="1:20" x14ac:dyDescent="0.3">
      <c r="A63" s="2">
        <v>104902</v>
      </c>
      <c r="B63" t="s">
        <v>208</v>
      </c>
      <c r="C63" t="s">
        <v>209</v>
      </c>
      <c r="D63" t="s">
        <v>933</v>
      </c>
      <c r="E63" s="3" t="s">
        <v>1263</v>
      </c>
      <c r="F63" s="4" t="s">
        <v>1264</v>
      </c>
      <c r="G63" t="s">
        <v>2515</v>
      </c>
      <c r="H63" t="s">
        <v>1265</v>
      </c>
      <c r="I63" s="12" t="s">
        <v>1266</v>
      </c>
      <c r="J63" s="12" t="s">
        <v>1267</v>
      </c>
      <c r="K63" t="s">
        <v>956</v>
      </c>
      <c r="L63" t="str">
        <f>_xlfn.CONCAT(Tbl_Employee_Details[[#This Row],[First Name]],".",Tbl_Employee_Details[[#This Row],[Last Name]],"@saregama.com")</f>
        <v>Cecilius.Gowrie@saregama.com</v>
      </c>
      <c r="M63" s="6">
        <f ca="1">(TODAY() - 'Employee Onboarding'!E63)/365.25</f>
        <v>3.8412046543463383</v>
      </c>
      <c r="N63">
        <v>349778</v>
      </c>
      <c r="O63" s="13" t="s">
        <v>35</v>
      </c>
      <c r="P63" s="6">
        <f ca="1">YEARFRAC(Tbl_Employee_Details[[#This Row],[Date of Birth]],TODAY())</f>
        <v>31.791666666666668</v>
      </c>
      <c r="Q63" s="14" t="s">
        <v>1262</v>
      </c>
      <c r="R63" s="2" t="s">
        <v>996</v>
      </c>
      <c r="S63" s="11" t="str">
        <f>IF(ISNA(VLOOKUP(A63,Tbl_Exit_Formalities[Employee ID],1,FALSE)), "No", "Yes")</f>
        <v>No</v>
      </c>
      <c r="T63" s="22">
        <f ca="1">Tbl_Employee_Details[[#This Row],[Experience in SAREGAMA]]/((SUMIFS(Tbl_Employee_Details[Experience in SAREGAMA],Tbl_Employee_Details[Department],Tbl_Employee_Details[[#This Row],[Department]])))</f>
        <v>1.0944179225560862E-2</v>
      </c>
    </row>
    <row r="64" spans="1:20" x14ac:dyDescent="0.3">
      <c r="A64" s="2">
        <v>105086</v>
      </c>
      <c r="B64" t="s">
        <v>211</v>
      </c>
      <c r="C64" t="s">
        <v>212</v>
      </c>
      <c r="D64" t="s">
        <v>933</v>
      </c>
      <c r="E64" s="3" t="s">
        <v>1268</v>
      </c>
      <c r="F64" s="4" t="s">
        <v>1269</v>
      </c>
      <c r="G64" t="s">
        <v>2516</v>
      </c>
      <c r="H64" t="s">
        <v>1270</v>
      </c>
      <c r="I64" s="12" t="s">
        <v>1271</v>
      </c>
      <c r="J64" s="12" t="s">
        <v>1272</v>
      </c>
      <c r="K64" t="s">
        <v>956</v>
      </c>
      <c r="L64" t="str">
        <f>_xlfn.CONCAT(Tbl_Employee_Details[[#This Row],[First Name]],".",Tbl_Employee_Details[[#This Row],[Last Name]],"@saregama.com")</f>
        <v>Rafferty.Jentle@saregama.com</v>
      </c>
      <c r="M64" s="6">
        <f ca="1">(TODAY() - 'Employee Onboarding'!E64)/365.25</f>
        <v>30.313483915126625</v>
      </c>
      <c r="N64">
        <v>123324</v>
      </c>
      <c r="O64" s="13" t="s">
        <v>13</v>
      </c>
      <c r="P64" s="6">
        <f ca="1">YEARFRAC(Tbl_Employee_Details[[#This Row],[Date of Birth]],TODAY())</f>
        <v>44.708333333333336</v>
      </c>
      <c r="Q64" s="14" t="s">
        <v>1262</v>
      </c>
      <c r="R64" s="2" t="s">
        <v>941</v>
      </c>
      <c r="S64" s="11" t="str">
        <f>IF(ISNA(VLOOKUP(A64,Tbl_Exit_Formalities[Employee ID],1,FALSE)), "No", "Yes")</f>
        <v>No</v>
      </c>
      <c r="T64" s="22">
        <f ca="1">Tbl_Employee_Details[[#This Row],[Experience in SAREGAMA]]/((SUMIFS(Tbl_Employee_Details[Experience in SAREGAMA],Tbl_Employee_Details[Department],Tbl_Employee_Details[[#This Row],[Department]])))</f>
        <v>8.6367749383756132E-2</v>
      </c>
    </row>
    <row r="65" spans="1:20" x14ac:dyDescent="0.3">
      <c r="A65" s="2">
        <v>105125</v>
      </c>
      <c r="B65" t="s">
        <v>214</v>
      </c>
      <c r="C65" t="s">
        <v>215</v>
      </c>
      <c r="D65" t="s">
        <v>933</v>
      </c>
      <c r="E65" s="3" t="s">
        <v>1273</v>
      </c>
      <c r="F65" s="4" t="s">
        <v>1274</v>
      </c>
      <c r="G65" t="s">
        <v>2506</v>
      </c>
      <c r="H65" t="s">
        <v>1275</v>
      </c>
      <c r="I65" s="12" t="s">
        <v>1276</v>
      </c>
      <c r="J65" s="12" t="s">
        <v>1277</v>
      </c>
      <c r="K65" t="s">
        <v>989</v>
      </c>
      <c r="L65" t="str">
        <f>_xlfn.CONCAT(Tbl_Employee_Details[[#This Row],[First Name]],".",Tbl_Employee_Details[[#This Row],[Last Name]],"@saregama.com")</f>
        <v>Lion.Cason@saregama.com</v>
      </c>
      <c r="M65" s="6">
        <f ca="1">(TODAY() - 'Employee Onboarding'!E65)/365.25</f>
        <v>7.9123887748117729</v>
      </c>
      <c r="N65">
        <v>351277</v>
      </c>
      <c r="O65" s="13" t="s">
        <v>22</v>
      </c>
      <c r="P65" s="6">
        <f ca="1">YEARFRAC(Tbl_Employee_Details[[#This Row],[Date of Birth]],TODAY())</f>
        <v>23.4</v>
      </c>
      <c r="Q65" s="14" t="s">
        <v>1262</v>
      </c>
      <c r="R65" s="2" t="s">
        <v>1019</v>
      </c>
      <c r="S65" s="11" t="str">
        <f>IF(ISNA(VLOOKUP(A65,Tbl_Exit_Formalities[Employee ID],1,FALSE)), "No", "Yes")</f>
        <v>No</v>
      </c>
      <c r="T65" s="22">
        <f ca="1">Tbl_Employee_Details[[#This Row],[Experience in SAREGAMA]]/((SUMIFS(Tbl_Employee_Details[Experience in SAREGAMA],Tbl_Employee_Details[Department],Tbl_Employee_Details[[#This Row],[Department]])))</f>
        <v>2.2543605104683458E-2</v>
      </c>
    </row>
    <row r="66" spans="1:20" x14ac:dyDescent="0.3">
      <c r="A66" s="2">
        <v>105666</v>
      </c>
      <c r="B66" t="s">
        <v>217</v>
      </c>
      <c r="C66" t="s">
        <v>218</v>
      </c>
      <c r="D66" t="s">
        <v>933</v>
      </c>
      <c r="E66" s="3" t="s">
        <v>1278</v>
      </c>
      <c r="F66" s="4" t="s">
        <v>1279</v>
      </c>
      <c r="G66" t="s">
        <v>2517</v>
      </c>
      <c r="H66" t="s">
        <v>1280</v>
      </c>
      <c r="I66" s="12" t="s">
        <v>1281</v>
      </c>
      <c r="J66" s="12" t="s">
        <v>1282</v>
      </c>
      <c r="K66" t="s">
        <v>956</v>
      </c>
      <c r="L66" t="str">
        <f>_xlfn.CONCAT(Tbl_Employee_Details[[#This Row],[First Name]],".",Tbl_Employee_Details[[#This Row],[Last Name]],"@saregama.com")</f>
        <v>Clayborne.Quig@saregama.com</v>
      </c>
      <c r="M66" s="6">
        <f ca="1">(TODAY() - 'Employee Onboarding'!E66)/365.25</f>
        <v>33.182751540041068</v>
      </c>
      <c r="N66">
        <v>82614</v>
      </c>
      <c r="O66" s="13" t="s">
        <v>46</v>
      </c>
      <c r="P66" s="6">
        <f ca="1">YEARFRAC(Tbl_Employee_Details[[#This Row],[Date of Birth]],TODAY())</f>
        <v>41.85</v>
      </c>
      <c r="Q66" s="14" t="s">
        <v>1262</v>
      </c>
      <c r="R66" s="2" t="s">
        <v>1002</v>
      </c>
      <c r="S66" s="11" t="str">
        <f>IF(ISNA(VLOOKUP(A66,Tbl_Exit_Formalities[Employee ID],1,FALSE)), "No", "Yes")</f>
        <v>No</v>
      </c>
      <c r="T66" s="22">
        <f ca="1">Tbl_Employee_Details[[#This Row],[Experience in SAREGAMA]]/((SUMIFS(Tbl_Employee_Details[Experience in SAREGAMA],Tbl_Employee_Details[Department],Tbl_Employee_Details[[#This Row],[Department]])))</f>
        <v>9.4542731442478711E-2</v>
      </c>
    </row>
    <row r="67" spans="1:20" x14ac:dyDescent="0.3">
      <c r="A67" s="2">
        <v>107071</v>
      </c>
      <c r="B67" t="s">
        <v>220</v>
      </c>
      <c r="C67" t="s">
        <v>221</v>
      </c>
      <c r="D67" t="s">
        <v>933</v>
      </c>
      <c r="E67" s="3" t="s">
        <v>1283</v>
      </c>
      <c r="F67" s="4" t="s">
        <v>1284</v>
      </c>
      <c r="G67" t="s">
        <v>2518</v>
      </c>
      <c r="H67" t="s">
        <v>1285</v>
      </c>
      <c r="I67" s="12" t="s">
        <v>1286</v>
      </c>
      <c r="J67" s="12" t="s">
        <v>1287</v>
      </c>
      <c r="K67" t="s">
        <v>947</v>
      </c>
      <c r="L67" t="str">
        <f>_xlfn.CONCAT(Tbl_Employee_Details[[#This Row],[First Name]],".",Tbl_Employee_Details[[#This Row],[Last Name]],"@saregama.com")</f>
        <v>Blane.Aldrin@saregama.com</v>
      </c>
      <c r="M67" s="6">
        <f ca="1">(TODAY() - 'Employee Onboarding'!E67)/365.25</f>
        <v>19.802874743326488</v>
      </c>
      <c r="N67">
        <v>175007</v>
      </c>
      <c r="O67" s="13" t="s">
        <v>13</v>
      </c>
      <c r="P67" s="6">
        <f ca="1">YEARFRAC(Tbl_Employee_Details[[#This Row],[Date of Birth]],TODAY())</f>
        <v>42.37222222222222</v>
      </c>
      <c r="Q67" s="14" t="s">
        <v>1262</v>
      </c>
      <c r="R67" s="2" t="s">
        <v>965</v>
      </c>
      <c r="S67" s="11" t="str">
        <f>IF(ISNA(VLOOKUP(A67,Tbl_Exit_Formalities[Employee ID],1,FALSE)), "No", "Yes")</f>
        <v>No</v>
      </c>
      <c r="T67" s="22">
        <f ca="1">Tbl_Employee_Details[[#This Row],[Experience in SAREGAMA]]/((SUMIFS(Tbl_Employee_Details[Experience in SAREGAMA],Tbl_Employee_Details[Department],Tbl_Employee_Details[[#This Row],[Department]])))</f>
        <v>5.642141720490499E-2</v>
      </c>
    </row>
    <row r="68" spans="1:20" x14ac:dyDescent="0.3">
      <c r="A68" s="2">
        <v>107702</v>
      </c>
      <c r="B68" t="s">
        <v>223</v>
      </c>
      <c r="C68" t="s">
        <v>224</v>
      </c>
      <c r="D68" t="s">
        <v>933</v>
      </c>
      <c r="E68" s="3" t="s">
        <v>1288</v>
      </c>
      <c r="F68" s="4" t="s">
        <v>1289</v>
      </c>
      <c r="G68" t="s">
        <v>2519</v>
      </c>
      <c r="H68" t="s">
        <v>1290</v>
      </c>
      <c r="I68" s="12" t="s">
        <v>1291</v>
      </c>
      <c r="J68" s="12" t="s">
        <v>1292</v>
      </c>
      <c r="K68" t="s">
        <v>939</v>
      </c>
      <c r="L68" t="str">
        <f>_xlfn.CONCAT(Tbl_Employee_Details[[#This Row],[First Name]],".",Tbl_Employee_Details[[#This Row],[Last Name]],"@saregama.com")</f>
        <v>Kelby.Tubb@saregama.com</v>
      </c>
      <c r="M68" s="6">
        <f ca="1">(TODAY() - 'Employee Onboarding'!E68)/365.25</f>
        <v>1.8617385352498288</v>
      </c>
      <c r="N68">
        <v>865801</v>
      </c>
      <c r="O68" s="13" t="s">
        <v>51</v>
      </c>
      <c r="P68" s="6">
        <f ca="1">YEARFRAC(Tbl_Employee_Details[[#This Row],[Date of Birth]],TODAY())</f>
        <v>35.927777777777777</v>
      </c>
      <c r="Q68" s="13" t="s">
        <v>948</v>
      </c>
      <c r="R68" s="2" t="s">
        <v>965</v>
      </c>
      <c r="S68" s="11" t="str">
        <f>IF(ISNA(VLOOKUP(A68,Tbl_Exit_Formalities[Employee ID],1,FALSE)), "No", "Yes")</f>
        <v>No</v>
      </c>
      <c r="T68" s="22">
        <f ca="1">Tbl_Employee_Details[[#This Row],[Experience in SAREGAMA]]/((SUMIFS(Tbl_Employee_Details[Experience in SAREGAMA],Tbl_Employee_Details[Department],Tbl_Employee_Details[[#This Row],[Department]])))</f>
        <v>4.7863729147603297E-3</v>
      </c>
    </row>
    <row r="69" spans="1:20" x14ac:dyDescent="0.3">
      <c r="A69" s="2">
        <v>105270</v>
      </c>
      <c r="B69" t="s">
        <v>226</v>
      </c>
      <c r="C69" t="s">
        <v>227</v>
      </c>
      <c r="D69" t="s">
        <v>933</v>
      </c>
      <c r="E69" s="3" t="s">
        <v>1293</v>
      </c>
      <c r="F69" s="4" t="s">
        <v>1294</v>
      </c>
      <c r="G69" t="s">
        <v>2563</v>
      </c>
      <c r="H69" t="s">
        <v>1295</v>
      </c>
      <c r="I69" s="12" t="s">
        <v>1296</v>
      </c>
      <c r="J69" s="12" t="s">
        <v>1297</v>
      </c>
      <c r="K69" t="s">
        <v>989</v>
      </c>
      <c r="L69" t="str">
        <f>_xlfn.CONCAT(Tbl_Employee_Details[[#This Row],[First Name]],".",Tbl_Employee_Details[[#This Row],[Last Name]],"@saregama.com")</f>
        <v>Kristopher.Douse@saregama.com</v>
      </c>
      <c r="M69" s="6">
        <f ca="1">(TODAY() - 'Employee Onboarding'!E69)/365.25</f>
        <v>24.826830937713893</v>
      </c>
      <c r="N69">
        <v>170514</v>
      </c>
      <c r="O69" s="13" t="s">
        <v>13</v>
      </c>
      <c r="P69" s="6">
        <f ca="1">YEARFRAC(Tbl_Employee_Details[[#This Row],[Date of Birth]],TODAY())</f>
        <v>42.472222222222221</v>
      </c>
      <c r="Q69" s="14" t="s">
        <v>1262</v>
      </c>
      <c r="R69" s="2" t="s">
        <v>977</v>
      </c>
      <c r="S69" s="11" t="str">
        <f>IF(ISNA(VLOOKUP(A69,Tbl_Exit_Formalities[Employee ID],1,FALSE)), "No", "Yes")</f>
        <v>No</v>
      </c>
      <c r="T69" s="22">
        <f ca="1">Tbl_Employee_Details[[#This Row],[Experience in SAREGAMA]]/((SUMIFS(Tbl_Employee_Details[Experience in SAREGAMA],Tbl_Employee_Details[Department],Tbl_Employee_Details[[#This Row],[Department]])))</f>
        <v>7.073543636306906E-2</v>
      </c>
    </row>
    <row r="70" spans="1:20" x14ac:dyDescent="0.3">
      <c r="A70" s="2">
        <v>103875</v>
      </c>
      <c r="B70" t="s">
        <v>229</v>
      </c>
      <c r="C70" t="s">
        <v>230</v>
      </c>
      <c r="D70" t="s">
        <v>933</v>
      </c>
      <c r="E70" s="3" t="s">
        <v>1298</v>
      </c>
      <c r="F70" s="4" t="s">
        <v>1299</v>
      </c>
      <c r="G70" t="s">
        <v>2491</v>
      </c>
      <c r="H70" t="s">
        <v>1300</v>
      </c>
      <c r="I70" s="12" t="s">
        <v>1301</v>
      </c>
      <c r="J70" s="12" t="s">
        <v>1302</v>
      </c>
      <c r="K70" t="s">
        <v>939</v>
      </c>
      <c r="L70" t="str">
        <f>_xlfn.CONCAT(Tbl_Employee_Details[[#This Row],[First Name]],".",Tbl_Employee_Details[[#This Row],[Last Name]],"@saregama.com")</f>
        <v>Darrick.Hinz@saregama.com</v>
      </c>
      <c r="M70" s="6">
        <f ca="1">(TODAY() - 'Employee Onboarding'!E70)/365.25</f>
        <v>10.516084873374401</v>
      </c>
      <c r="N70">
        <v>196310</v>
      </c>
      <c r="O70" s="13" t="s">
        <v>13</v>
      </c>
      <c r="P70" s="6">
        <f ca="1">YEARFRAC(Tbl_Employee_Details[[#This Row],[Date of Birth]],TODAY())</f>
        <v>23.088888888888889</v>
      </c>
      <c r="Q70" s="14" t="s">
        <v>1262</v>
      </c>
      <c r="R70" s="2" t="s">
        <v>1019</v>
      </c>
      <c r="S70" s="11" t="str">
        <f>IF(ISNA(VLOOKUP(A70,Tbl_Exit_Formalities[Employee ID],1,FALSE)), "No", "Yes")</f>
        <v>No</v>
      </c>
      <c r="T70" s="22">
        <f ca="1">Tbl_Employee_Details[[#This Row],[Experience in SAREGAMA]]/((SUMIFS(Tbl_Employee_Details[Experience in SAREGAMA],Tbl_Employee_Details[Department],Tbl_Employee_Details[[#This Row],[Department]])))</f>
        <v>2.9961933289650227E-2</v>
      </c>
    </row>
    <row r="71" spans="1:20" x14ac:dyDescent="0.3">
      <c r="A71" s="2">
        <v>106044</v>
      </c>
      <c r="B71" t="s">
        <v>232</v>
      </c>
      <c r="C71" t="s">
        <v>233</v>
      </c>
      <c r="D71" t="s">
        <v>950</v>
      </c>
      <c r="E71" s="3" t="s">
        <v>1303</v>
      </c>
      <c r="F71" s="4" t="s">
        <v>1304</v>
      </c>
      <c r="G71" t="s">
        <v>2520</v>
      </c>
      <c r="H71" t="s">
        <v>1305</v>
      </c>
      <c r="I71" s="12" t="s">
        <v>1306</v>
      </c>
      <c r="J71" s="12" t="s">
        <v>1307</v>
      </c>
      <c r="K71" t="s">
        <v>939</v>
      </c>
      <c r="L71" t="str">
        <f>_xlfn.CONCAT(Tbl_Employee_Details[[#This Row],[First Name]],".",Tbl_Employee_Details[[#This Row],[Last Name]],"@saregama.com")</f>
        <v>Dallas.Morad@saregama.com</v>
      </c>
      <c r="M71" s="6">
        <f ca="1">(TODAY() - 'Employee Onboarding'!E71)/365.25</f>
        <v>29.670088980150581</v>
      </c>
      <c r="N71">
        <v>396366</v>
      </c>
      <c r="O71" s="13" t="s">
        <v>85</v>
      </c>
      <c r="P71" s="6">
        <f ca="1">YEARFRAC(Tbl_Employee_Details[[#This Row],[Date of Birth]],TODAY())</f>
        <v>38.447222222222223</v>
      </c>
      <c r="Q71" s="14" t="s">
        <v>1262</v>
      </c>
      <c r="R71" s="2" t="s">
        <v>1019</v>
      </c>
      <c r="S71" s="11" t="str">
        <f>IF(ISNA(VLOOKUP(A71,Tbl_Exit_Formalities[Employee ID],1,FALSE)), "No", "Yes")</f>
        <v>No</v>
      </c>
      <c r="T71" s="22">
        <f ca="1">Tbl_Employee_Details[[#This Row],[Experience in SAREGAMA]]/((SUMIFS(Tbl_Employee_Details[Experience in SAREGAMA],Tbl_Employee_Details[Department],Tbl_Employee_Details[[#This Row],[Department]])))</f>
        <v>8.4534618864863187E-2</v>
      </c>
    </row>
    <row r="72" spans="1:20" x14ac:dyDescent="0.3">
      <c r="A72" s="2">
        <v>107235</v>
      </c>
      <c r="B72" t="s">
        <v>235</v>
      </c>
      <c r="C72" t="s">
        <v>236</v>
      </c>
      <c r="D72" t="s">
        <v>933</v>
      </c>
      <c r="E72" s="3" t="s">
        <v>1308</v>
      </c>
      <c r="F72" s="4" t="s">
        <v>1309</v>
      </c>
      <c r="G72" t="s">
        <v>2486</v>
      </c>
      <c r="H72" t="s">
        <v>1310</v>
      </c>
      <c r="I72" s="12" t="s">
        <v>1311</v>
      </c>
      <c r="J72" s="12" t="s">
        <v>1312</v>
      </c>
      <c r="K72" t="s">
        <v>939</v>
      </c>
      <c r="L72" t="str">
        <f>_xlfn.CONCAT(Tbl_Employee_Details[[#This Row],[First Name]],".",Tbl_Employee_Details[[#This Row],[Last Name]],"@saregama.com")</f>
        <v>Hilton.Parsons@saregama.com</v>
      </c>
      <c r="M72" s="6">
        <f ca="1">(TODAY() - 'Employee Onboarding'!E72)/365.25</f>
        <v>33.675564681724843</v>
      </c>
      <c r="N72">
        <v>479049</v>
      </c>
      <c r="O72" s="13" t="s">
        <v>22</v>
      </c>
      <c r="P72" s="6">
        <f ca="1">YEARFRAC(Tbl_Employee_Details[[#This Row],[Date of Birth]],TODAY())</f>
        <v>44.144444444444446</v>
      </c>
      <c r="Q72" s="14" t="s">
        <v>1262</v>
      </c>
      <c r="R72" s="2" t="s">
        <v>977</v>
      </c>
      <c r="S72" s="11" t="str">
        <f>IF(ISNA(VLOOKUP(A72,Tbl_Exit_Formalities[Employee ID],1,FALSE)), "No", "Yes")</f>
        <v>No</v>
      </c>
      <c r="T72" s="22">
        <f ca="1">Tbl_Employee_Details[[#This Row],[Experience in SAREGAMA]]/((SUMIFS(Tbl_Employee_Details[Experience in SAREGAMA],Tbl_Employee_Details[Department],Tbl_Employee_Details[[#This Row],[Department]])))</f>
        <v>9.5946831414396708E-2</v>
      </c>
    </row>
    <row r="73" spans="1:20" x14ac:dyDescent="0.3">
      <c r="A73" s="2">
        <v>105180</v>
      </c>
      <c r="B73" t="s">
        <v>238</v>
      </c>
      <c r="C73" t="s">
        <v>239</v>
      </c>
      <c r="D73" t="s">
        <v>950</v>
      </c>
      <c r="E73" s="3" t="s">
        <v>1313</v>
      </c>
      <c r="F73" s="4" t="s">
        <v>1314</v>
      </c>
      <c r="G73" t="s">
        <v>2563</v>
      </c>
      <c r="H73" t="s">
        <v>1315</v>
      </c>
      <c r="I73" s="12" t="s">
        <v>1316</v>
      </c>
      <c r="J73" s="12" t="s">
        <v>1317</v>
      </c>
      <c r="K73" t="s">
        <v>956</v>
      </c>
      <c r="L73" t="str">
        <f>_xlfn.CONCAT(Tbl_Employee_Details[[#This Row],[First Name]],".",Tbl_Employee_Details[[#This Row],[Last Name]],"@saregama.com")</f>
        <v>Carla.Leatherbarrow@saregama.com</v>
      </c>
      <c r="M73" s="6">
        <f ca="1">(TODAY() - 'Employee Onboarding'!E73)/365.25</f>
        <v>6.3956194387405887</v>
      </c>
      <c r="N73">
        <v>443112</v>
      </c>
      <c r="O73" s="13" t="s">
        <v>22</v>
      </c>
      <c r="P73" s="6">
        <f ca="1">YEARFRAC(Tbl_Employee_Details[[#This Row],[Date of Birth]],TODAY())</f>
        <v>37.358333333333334</v>
      </c>
      <c r="Q73" s="14" t="s">
        <v>1262</v>
      </c>
      <c r="R73" s="2" t="s">
        <v>958</v>
      </c>
      <c r="S73" s="11" t="str">
        <f>IF(ISNA(VLOOKUP(A73,Tbl_Exit_Formalities[Employee ID],1,FALSE)), "No", "Yes")</f>
        <v>No</v>
      </c>
      <c r="T73" s="22">
        <f ca="1">Tbl_Employee_Details[[#This Row],[Experience in SAREGAMA]]/((SUMIFS(Tbl_Employee_Details[Experience in SAREGAMA],Tbl_Employee_Details[Department],Tbl_Employee_Details[[#This Row],[Department]])))</f>
        <v>1.822209741333583E-2</v>
      </c>
    </row>
    <row r="74" spans="1:20" x14ac:dyDescent="0.3">
      <c r="A74" s="2">
        <v>105324</v>
      </c>
      <c r="B74" t="s">
        <v>241</v>
      </c>
      <c r="C74" t="s">
        <v>242</v>
      </c>
      <c r="D74" t="s">
        <v>950</v>
      </c>
      <c r="E74" s="3" t="s">
        <v>1318</v>
      </c>
      <c r="F74" s="4" t="s">
        <v>1319</v>
      </c>
      <c r="G74" t="s">
        <v>2482</v>
      </c>
      <c r="H74" t="s">
        <v>1320</v>
      </c>
      <c r="I74" s="12" t="s">
        <v>1321</v>
      </c>
      <c r="J74" s="12" t="s">
        <v>1322</v>
      </c>
      <c r="K74" t="s">
        <v>947</v>
      </c>
      <c r="L74" t="str">
        <f>_xlfn.CONCAT(Tbl_Employee_Details[[#This Row],[First Name]],".",Tbl_Employee_Details[[#This Row],[Last Name]],"@saregama.com")</f>
        <v>Katharyn.Blythe@saregama.com</v>
      </c>
      <c r="M74" s="6">
        <f ca="1">(TODAY() - 'Employee Onboarding'!E74)/365.25</f>
        <v>3.3648186173853527</v>
      </c>
      <c r="N74">
        <v>282232</v>
      </c>
      <c r="O74" s="13" t="s">
        <v>35</v>
      </c>
      <c r="P74" s="6">
        <f ca="1">YEARFRAC(Tbl_Employee_Details[[#This Row],[Date of Birth]],TODAY())</f>
        <v>38.31111111111111</v>
      </c>
      <c r="Q74" s="14" t="s">
        <v>1262</v>
      </c>
      <c r="R74" s="2" t="s">
        <v>949</v>
      </c>
      <c r="S74" s="11" t="str">
        <f>IF(ISNA(VLOOKUP(A74,Tbl_Exit_Formalities[Employee ID],1,FALSE)), "No", "Yes")</f>
        <v>No</v>
      </c>
      <c r="T74" s="22">
        <f ca="1">Tbl_Employee_Details[[#This Row],[Experience in SAREGAMA]]/((SUMIFS(Tbl_Employee_Details[Experience in SAREGAMA],Tbl_Employee_Details[Department],Tbl_Employee_Details[[#This Row],[Department]])))</f>
        <v>9.5868825860401276E-3</v>
      </c>
    </row>
    <row r="75" spans="1:20" x14ac:dyDescent="0.3">
      <c r="A75" s="2">
        <v>107716</v>
      </c>
      <c r="B75" t="s">
        <v>244</v>
      </c>
      <c r="C75" t="s">
        <v>245</v>
      </c>
      <c r="D75" t="s">
        <v>950</v>
      </c>
      <c r="E75" s="3" t="s">
        <v>1323</v>
      </c>
      <c r="F75" s="4" t="s">
        <v>1324</v>
      </c>
      <c r="G75" t="s">
        <v>2521</v>
      </c>
      <c r="H75" t="s">
        <v>1325</v>
      </c>
      <c r="I75" s="12" t="s">
        <v>1326</v>
      </c>
      <c r="J75" s="12" t="s">
        <v>1327</v>
      </c>
      <c r="K75" t="s">
        <v>983</v>
      </c>
      <c r="L75" t="str">
        <f>_xlfn.CONCAT(Tbl_Employee_Details[[#This Row],[First Name]],".",Tbl_Employee_Details[[#This Row],[Last Name]],"@saregama.com")</f>
        <v>Mira.Bontine@saregama.com</v>
      </c>
      <c r="M75" s="6">
        <f ca="1">(TODAY() - 'Employee Onboarding'!E75)/365.25</f>
        <v>19.143052703627653</v>
      </c>
      <c r="N75">
        <v>168337</v>
      </c>
      <c r="O75" s="13" t="s">
        <v>46</v>
      </c>
      <c r="P75" s="6">
        <f ca="1">YEARFRAC(Tbl_Employee_Details[[#This Row],[Date of Birth]],TODAY())</f>
        <v>28.858333333333334</v>
      </c>
      <c r="Q75" s="14" t="s">
        <v>1262</v>
      </c>
      <c r="R75" s="2" t="s">
        <v>958</v>
      </c>
      <c r="S75" s="11" t="str">
        <f>IF(ISNA(VLOOKUP(A75,Tbl_Exit_Formalities[Employee ID],1,FALSE)), "No", "Yes")</f>
        <v>Yes</v>
      </c>
      <c r="T75" s="22">
        <f ca="1">Tbl_Employee_Details[[#This Row],[Experience in SAREGAMA]]/((SUMIFS(Tbl_Employee_Details[Experience in SAREGAMA],Tbl_Employee_Details[Department],Tbl_Employee_Details[[#This Row],[Department]])))</f>
        <v>5.4541483353614785E-2</v>
      </c>
    </row>
    <row r="76" spans="1:20" x14ac:dyDescent="0.3">
      <c r="A76" s="2">
        <v>103971</v>
      </c>
      <c r="B76" t="s">
        <v>247</v>
      </c>
      <c r="C76" t="s">
        <v>248</v>
      </c>
      <c r="D76" t="s">
        <v>950</v>
      </c>
      <c r="E76" s="3" t="s">
        <v>1328</v>
      </c>
      <c r="F76" s="4" t="s">
        <v>1329</v>
      </c>
      <c r="G76" t="s">
        <v>2512</v>
      </c>
      <c r="H76" t="s">
        <v>1330</v>
      </c>
      <c r="I76" s="12" t="s">
        <v>1331</v>
      </c>
      <c r="J76" s="12" t="s">
        <v>1332</v>
      </c>
      <c r="K76" t="s">
        <v>947</v>
      </c>
      <c r="L76" t="str">
        <f>_xlfn.CONCAT(Tbl_Employee_Details[[#This Row],[First Name]],".",Tbl_Employee_Details[[#This Row],[Last Name]],"@saregama.com")</f>
        <v>Iolande.Levane@saregama.com</v>
      </c>
      <c r="M76" s="6">
        <f ca="1">(TODAY() - 'Employee Onboarding'!E76)/365.25</f>
        <v>14.565366187542779</v>
      </c>
      <c r="N76">
        <v>183432</v>
      </c>
      <c r="O76" s="13" t="s">
        <v>13</v>
      </c>
      <c r="P76" s="6">
        <f ca="1">YEARFRAC(Tbl_Employee_Details[[#This Row],[Date of Birth]],TODAY())</f>
        <v>32.761111111111113</v>
      </c>
      <c r="Q76" s="13" t="s">
        <v>1055</v>
      </c>
      <c r="R76" s="2" t="s">
        <v>996</v>
      </c>
      <c r="S76" s="11" t="str">
        <f>IF(ISNA(VLOOKUP(A76,Tbl_Exit_Formalities[Employee ID],1,FALSE)), "No", "Yes")</f>
        <v>No</v>
      </c>
      <c r="T76" s="22">
        <f ca="1">Tbl_Employee_Details[[#This Row],[Experience in SAREGAMA]]/((SUMIFS(Tbl_Employee_Details[Experience in SAREGAMA],Tbl_Employee_Details[Department],Tbl_Employee_Details[[#This Row],[Department]])))</f>
        <v>3.0534526399164322E-2</v>
      </c>
    </row>
    <row r="77" spans="1:20" x14ac:dyDescent="0.3">
      <c r="A77" s="2">
        <v>104333</v>
      </c>
      <c r="B77" t="s">
        <v>250</v>
      </c>
      <c r="C77" t="s">
        <v>251</v>
      </c>
      <c r="D77" t="s">
        <v>950</v>
      </c>
      <c r="E77" s="3" t="s">
        <v>1333</v>
      </c>
      <c r="F77" s="4" t="s">
        <v>1334</v>
      </c>
      <c r="G77" t="s">
        <v>2499</v>
      </c>
      <c r="H77" t="s">
        <v>1335</v>
      </c>
      <c r="I77" s="12" t="s">
        <v>1336</v>
      </c>
      <c r="J77" s="12" t="s">
        <v>1337</v>
      </c>
      <c r="K77" t="s">
        <v>939</v>
      </c>
      <c r="L77" t="str">
        <f>_xlfn.CONCAT(Tbl_Employee_Details[[#This Row],[First Name]],".",Tbl_Employee_Details[[#This Row],[Last Name]],"@saregama.com")</f>
        <v>Melinda.Kleen@saregama.com</v>
      </c>
      <c r="M77" s="6">
        <f ca="1">(TODAY() - 'Employee Onboarding'!E77)/365.25</f>
        <v>10.036960985626283</v>
      </c>
      <c r="N77">
        <v>684898</v>
      </c>
      <c r="O77" s="13" t="s">
        <v>63</v>
      </c>
      <c r="P77" s="6">
        <f ca="1">YEARFRAC(Tbl_Employee_Details[[#This Row],[Date of Birth]],TODAY())</f>
        <v>28.908333333333335</v>
      </c>
      <c r="Q77" s="13" t="s">
        <v>964</v>
      </c>
      <c r="R77" s="2" t="s">
        <v>1019</v>
      </c>
      <c r="S77" s="11" t="str">
        <f>IF(ISNA(VLOOKUP(A77,Tbl_Exit_Formalities[Employee ID],1,FALSE)), "No", "Yes")</f>
        <v>No</v>
      </c>
      <c r="T77" s="22">
        <f ca="1">Tbl_Employee_Details[[#This Row],[Experience in SAREGAMA]]/((SUMIFS(Tbl_Employee_Details[Experience in SAREGAMA],Tbl_Employee_Details[Department],Tbl_Employee_Details[[#This Row],[Department]])))</f>
        <v>2.8382521445604034E-2</v>
      </c>
    </row>
    <row r="78" spans="1:20" x14ac:dyDescent="0.3">
      <c r="A78" s="2">
        <v>104260</v>
      </c>
      <c r="B78" t="s">
        <v>253</v>
      </c>
      <c r="C78" t="s">
        <v>254</v>
      </c>
      <c r="D78" t="s">
        <v>933</v>
      </c>
      <c r="E78" s="3" t="s">
        <v>1338</v>
      </c>
      <c r="F78" s="4" t="s">
        <v>1339</v>
      </c>
      <c r="G78" t="s">
        <v>2522</v>
      </c>
      <c r="H78" t="s">
        <v>1340</v>
      </c>
      <c r="I78" s="12" t="s">
        <v>1341</v>
      </c>
      <c r="J78" s="12" t="s">
        <v>1342</v>
      </c>
      <c r="K78" t="s">
        <v>956</v>
      </c>
      <c r="L78" t="str">
        <f>_xlfn.CONCAT(Tbl_Employee_Details[[#This Row],[First Name]],".",Tbl_Employee_Details[[#This Row],[Last Name]],"@saregama.com")</f>
        <v>Evered.Pury@saregama.com</v>
      </c>
      <c r="M78" s="6">
        <f ca="1">(TODAY() - 'Employee Onboarding'!E78)/365.25</f>
        <v>1.6947296372347707</v>
      </c>
      <c r="N78">
        <v>478215</v>
      </c>
      <c r="O78" s="13" t="s">
        <v>22</v>
      </c>
      <c r="P78" s="6">
        <f ca="1">YEARFRAC(Tbl_Employee_Details[[#This Row],[Date of Birth]],TODAY())</f>
        <v>32.838888888888889</v>
      </c>
      <c r="Q78" s="13" t="s">
        <v>1055</v>
      </c>
      <c r="R78" s="2" t="s">
        <v>941</v>
      </c>
      <c r="S78" s="11" t="str">
        <f>IF(ISNA(VLOOKUP(A78,Tbl_Exit_Formalities[Employee ID],1,FALSE)), "No", "Yes")</f>
        <v>No</v>
      </c>
      <c r="T78" s="22">
        <f ca="1">Tbl_Employee_Details[[#This Row],[Experience in SAREGAMA]]/((SUMIFS(Tbl_Employee_Details[Experience in SAREGAMA],Tbl_Employee_Details[Department],Tbl_Employee_Details[[#This Row],[Department]])))</f>
        <v>3.5527954588501342E-3</v>
      </c>
    </row>
    <row r="79" spans="1:20" x14ac:dyDescent="0.3">
      <c r="A79" s="2">
        <v>103316</v>
      </c>
      <c r="B79" t="s">
        <v>256</v>
      </c>
      <c r="C79" t="s">
        <v>257</v>
      </c>
      <c r="D79" t="s">
        <v>950</v>
      </c>
      <c r="E79" s="3" t="s">
        <v>1343</v>
      </c>
      <c r="F79" s="4" t="s">
        <v>1344</v>
      </c>
      <c r="G79" t="s">
        <v>2484</v>
      </c>
      <c r="H79" t="s">
        <v>1345</v>
      </c>
      <c r="I79" s="12" t="s">
        <v>1346</v>
      </c>
      <c r="J79" s="12" t="s">
        <v>1347</v>
      </c>
      <c r="K79" t="s">
        <v>947</v>
      </c>
      <c r="L79" t="str">
        <f>_xlfn.CONCAT(Tbl_Employee_Details[[#This Row],[First Name]],".",Tbl_Employee_Details[[#This Row],[Last Name]],"@saregama.com")</f>
        <v>Betta.Entreis@saregama.com</v>
      </c>
      <c r="M79" s="6">
        <f ca="1">(TODAY() - 'Employee Onboarding'!E79)/365.25</f>
        <v>2.1601642710472277</v>
      </c>
      <c r="N79">
        <v>440226</v>
      </c>
      <c r="O79" s="13" t="s">
        <v>22</v>
      </c>
      <c r="P79" s="6">
        <f ca="1">YEARFRAC(Tbl_Employee_Details[[#This Row],[Date of Birth]],TODAY())</f>
        <v>43.258333333333333</v>
      </c>
      <c r="Q79" s="13" t="s">
        <v>1055</v>
      </c>
      <c r="R79" s="2" t="s">
        <v>949</v>
      </c>
      <c r="S79" s="11" t="str">
        <f>IF(ISNA(VLOOKUP(A79,Tbl_Exit_Formalities[Employee ID],1,FALSE)), "No", "Yes")</f>
        <v>No</v>
      </c>
      <c r="T79" s="22">
        <f ca="1">Tbl_Employee_Details[[#This Row],[Experience in SAREGAMA]]/((SUMIFS(Tbl_Employee_Details[Experience in SAREGAMA],Tbl_Employee_Details[Department],Tbl_Employee_Details[[#This Row],[Department]])))</f>
        <v>4.5285228061918512E-3</v>
      </c>
    </row>
    <row r="80" spans="1:20" x14ac:dyDescent="0.3">
      <c r="A80" s="2">
        <v>103686</v>
      </c>
      <c r="B80" t="s">
        <v>259</v>
      </c>
      <c r="C80" t="s">
        <v>260</v>
      </c>
      <c r="D80" t="s">
        <v>950</v>
      </c>
      <c r="E80" s="3" t="s">
        <v>1348</v>
      </c>
      <c r="F80" s="4" t="s">
        <v>1349</v>
      </c>
      <c r="G80" t="s">
        <v>2523</v>
      </c>
      <c r="H80" t="s">
        <v>1350</v>
      </c>
      <c r="I80" s="12" t="s">
        <v>1351</v>
      </c>
      <c r="J80" s="12" t="s">
        <v>1352</v>
      </c>
      <c r="K80" t="s">
        <v>947</v>
      </c>
      <c r="L80" t="str">
        <f>_xlfn.CONCAT(Tbl_Employee_Details[[#This Row],[First Name]],".",Tbl_Employee_Details[[#This Row],[Last Name]],"@saregama.com")</f>
        <v>Lisha.Lovett@saregama.com</v>
      </c>
      <c r="M80" s="6">
        <f ca="1">(TODAY() - 'Employee Onboarding'!E80)/365.25</f>
        <v>34.047912388774812</v>
      </c>
      <c r="N80">
        <v>746161</v>
      </c>
      <c r="O80" s="13" t="s">
        <v>63</v>
      </c>
      <c r="P80" s="6">
        <f ca="1">YEARFRAC(Tbl_Employee_Details[[#This Row],[Date of Birth]],TODAY())</f>
        <v>36.397222222222226</v>
      </c>
      <c r="Q80" s="13" t="s">
        <v>964</v>
      </c>
      <c r="R80" s="2" t="s">
        <v>958</v>
      </c>
      <c r="S80" s="11" t="str">
        <f>IF(ISNA(VLOOKUP(A80,Tbl_Exit_Formalities[Employee ID],1,FALSE)), "No", "Yes")</f>
        <v>No</v>
      </c>
      <c r="T80" s="22">
        <f ca="1">Tbl_Employee_Details[[#This Row],[Experience in SAREGAMA]]/((SUMIFS(Tbl_Employee_Details[Experience in SAREGAMA],Tbl_Employee_Details[Department],Tbl_Employee_Details[[#This Row],[Department]])))</f>
        <v>9.6280697407946467E-2</v>
      </c>
    </row>
    <row r="81" spans="1:20" x14ac:dyDescent="0.3">
      <c r="A81" s="2">
        <v>105780</v>
      </c>
      <c r="B81" t="s">
        <v>262</v>
      </c>
      <c r="C81" t="s">
        <v>263</v>
      </c>
      <c r="D81" t="s">
        <v>950</v>
      </c>
      <c r="E81" s="3" t="s">
        <v>1353</v>
      </c>
      <c r="F81" s="4" t="s">
        <v>1354</v>
      </c>
      <c r="G81" t="s">
        <v>2486</v>
      </c>
      <c r="H81" t="s">
        <v>1355</v>
      </c>
      <c r="I81" s="12" t="s">
        <v>1356</v>
      </c>
      <c r="J81" s="12" t="s">
        <v>1357</v>
      </c>
      <c r="K81" t="s">
        <v>983</v>
      </c>
      <c r="L81" t="str">
        <f>_xlfn.CONCAT(Tbl_Employee_Details[[#This Row],[First Name]],".",Tbl_Employee_Details[[#This Row],[Last Name]],"@saregama.com")</f>
        <v>Ninon.Medendorp@saregama.com</v>
      </c>
      <c r="M81" s="6">
        <f ca="1">(TODAY() - 'Employee Onboarding'!E81)/365.25</f>
        <v>2.1409993155373033</v>
      </c>
      <c r="N81">
        <v>768481</v>
      </c>
      <c r="O81" s="13" t="s">
        <v>51</v>
      </c>
      <c r="P81" s="6">
        <f ca="1">YEARFRAC(Tbl_Employee_Details[[#This Row],[Date of Birth]],TODAY())</f>
        <v>39.969444444444441</v>
      </c>
      <c r="Q81" s="13" t="s">
        <v>990</v>
      </c>
      <c r="R81" s="2" t="s">
        <v>965</v>
      </c>
      <c r="S81" s="11" t="str">
        <f>IF(ISNA(VLOOKUP(A81,Tbl_Exit_Formalities[Employee ID],1,FALSE)), "No", "Yes")</f>
        <v>No</v>
      </c>
      <c r="T81" s="22">
        <f ca="1">Tbl_Employee_Details[[#This Row],[Experience in SAREGAMA]]/((SUMIFS(Tbl_Employee_Details[Experience in SAREGAMA],Tbl_Employee_Details[Department],Tbl_Employee_Details[[#This Row],[Department]])))</f>
        <v>1.5870889703405136E-3</v>
      </c>
    </row>
    <row r="82" spans="1:20" x14ac:dyDescent="0.3">
      <c r="A82" s="2">
        <v>102704</v>
      </c>
      <c r="B82" t="s">
        <v>265</v>
      </c>
      <c r="C82" t="s">
        <v>266</v>
      </c>
      <c r="D82" t="s">
        <v>933</v>
      </c>
      <c r="E82" s="3" t="s">
        <v>1358</v>
      </c>
      <c r="F82" s="4" t="s">
        <v>1359</v>
      </c>
      <c r="G82" t="s">
        <v>2522</v>
      </c>
      <c r="H82" t="s">
        <v>1360</v>
      </c>
      <c r="I82" s="12" t="s">
        <v>1361</v>
      </c>
      <c r="J82" s="12" t="s">
        <v>1362</v>
      </c>
      <c r="K82" t="s">
        <v>983</v>
      </c>
      <c r="L82" t="str">
        <f>_xlfn.CONCAT(Tbl_Employee_Details[[#This Row],[First Name]],".",Tbl_Employee_Details[[#This Row],[Last Name]],"@saregama.com")</f>
        <v>Ezekiel.Youd@saregama.com</v>
      </c>
      <c r="M82" s="6">
        <f ca="1">(TODAY() - 'Employee Onboarding'!E82)/365.25</f>
        <v>18.151950718685832</v>
      </c>
      <c r="N82">
        <v>163318</v>
      </c>
      <c r="O82" s="13" t="s">
        <v>13</v>
      </c>
      <c r="P82" s="6">
        <f ca="1">YEARFRAC(Tbl_Employee_Details[[#This Row],[Date of Birth]],TODAY())</f>
        <v>37.108333333333334</v>
      </c>
      <c r="Q82" s="13" t="s">
        <v>1055</v>
      </c>
      <c r="R82" s="2" t="s">
        <v>977</v>
      </c>
      <c r="S82" s="11" t="str">
        <f>IF(ISNA(VLOOKUP(A82,Tbl_Exit_Formalities[Employee ID],1,FALSE)), "No", "Yes")</f>
        <v>No</v>
      </c>
      <c r="T82" s="22">
        <f ca="1">Tbl_Employee_Details[[#This Row],[Experience in SAREGAMA]]/((SUMIFS(Tbl_Employee_Details[Experience in SAREGAMA],Tbl_Employee_Details[Department],Tbl_Employee_Details[[#This Row],[Department]])))</f>
        <v>3.8053366546326968E-2</v>
      </c>
    </row>
    <row r="83" spans="1:20" x14ac:dyDescent="0.3">
      <c r="A83" s="2">
        <v>104016</v>
      </c>
      <c r="B83" t="s">
        <v>268</v>
      </c>
      <c r="C83" t="s">
        <v>269</v>
      </c>
      <c r="D83" t="s">
        <v>933</v>
      </c>
      <c r="E83" s="3" t="s">
        <v>1363</v>
      </c>
      <c r="F83" s="4" t="s">
        <v>1364</v>
      </c>
      <c r="G83" t="s">
        <v>2524</v>
      </c>
      <c r="H83" t="s">
        <v>1365</v>
      </c>
      <c r="I83" s="12" t="s">
        <v>1366</v>
      </c>
      <c r="J83" s="12" t="s">
        <v>1367</v>
      </c>
      <c r="K83" t="s">
        <v>947</v>
      </c>
      <c r="L83" t="str">
        <f>_xlfn.CONCAT(Tbl_Employee_Details[[#This Row],[First Name]],".",Tbl_Employee_Details[[#This Row],[Last Name]],"@saregama.com")</f>
        <v>Napoleon.Giovanitti@saregama.com</v>
      </c>
      <c r="M83" s="6">
        <f ca="1">(TODAY() - 'Employee Onboarding'!E83)/365.25</f>
        <v>4.5092402464065708</v>
      </c>
      <c r="N83">
        <v>292143</v>
      </c>
      <c r="O83" s="13" t="s">
        <v>35</v>
      </c>
      <c r="P83" s="6">
        <f ca="1">YEARFRAC(Tbl_Employee_Details[[#This Row],[Date of Birth]],TODAY())</f>
        <v>36.06666666666667</v>
      </c>
      <c r="Q83" s="13" t="s">
        <v>1055</v>
      </c>
      <c r="R83" s="2" t="s">
        <v>965</v>
      </c>
      <c r="S83" s="11" t="str">
        <f>IF(ISNA(VLOOKUP(A83,Tbl_Exit_Formalities[Employee ID],1,FALSE)), "No", "Yes")</f>
        <v>No</v>
      </c>
      <c r="T83" s="22">
        <f ca="1">Tbl_Employee_Details[[#This Row],[Experience in SAREGAMA]]/((SUMIFS(Tbl_Employee_Details[Experience in SAREGAMA],Tbl_Employee_Details[Department],Tbl_Employee_Details[[#This Row],[Department]])))</f>
        <v>9.4530761239518118E-3</v>
      </c>
    </row>
    <row r="84" spans="1:20" x14ac:dyDescent="0.3">
      <c r="A84" s="2">
        <v>107983</v>
      </c>
      <c r="B84" t="s">
        <v>271</v>
      </c>
      <c r="C84" t="s">
        <v>272</v>
      </c>
      <c r="D84" t="s">
        <v>950</v>
      </c>
      <c r="E84" s="3" t="s">
        <v>1368</v>
      </c>
      <c r="F84" s="4" t="s">
        <v>1369</v>
      </c>
      <c r="G84" t="s">
        <v>2525</v>
      </c>
      <c r="H84" t="s">
        <v>1370</v>
      </c>
      <c r="I84" s="12" t="s">
        <v>1371</v>
      </c>
      <c r="J84" s="12" t="s">
        <v>1372</v>
      </c>
      <c r="K84" t="s">
        <v>939</v>
      </c>
      <c r="L84" t="str">
        <f>_xlfn.CONCAT(Tbl_Employee_Details[[#This Row],[First Name]],".",Tbl_Employee_Details[[#This Row],[Last Name]],"@saregama.com")</f>
        <v>Jasmine.Vlasyuk@saregama.com</v>
      </c>
      <c r="M84" s="6">
        <f ca="1">(TODAY() - 'Employee Onboarding'!E84)/365.25</f>
        <v>43.304585900068446</v>
      </c>
      <c r="N84">
        <v>127319</v>
      </c>
      <c r="O84" s="13" t="s">
        <v>113</v>
      </c>
      <c r="P84" s="6">
        <f ca="1">YEARFRAC(Tbl_Employee_Details[[#This Row],[Date of Birth]],TODAY())</f>
        <v>43.863888888888887</v>
      </c>
      <c r="Q84" s="13" t="s">
        <v>1055</v>
      </c>
      <c r="R84" s="2" t="s">
        <v>965</v>
      </c>
      <c r="S84" s="11" t="str">
        <f>IF(ISNA(VLOOKUP(A84,Tbl_Exit_Formalities[Employee ID],1,FALSE)), "No", "Yes")</f>
        <v>No</v>
      </c>
      <c r="T84" s="22">
        <f ca="1">Tbl_Employee_Details[[#This Row],[Experience in SAREGAMA]]/((SUMIFS(Tbl_Employee_Details[Experience in SAREGAMA],Tbl_Employee_Details[Department],Tbl_Employee_Details[[#This Row],[Department]])))</f>
        <v>9.0782820311199636E-2</v>
      </c>
    </row>
    <row r="85" spans="1:20" x14ac:dyDescent="0.3">
      <c r="A85" s="2">
        <v>106568</v>
      </c>
      <c r="B85" t="s">
        <v>274</v>
      </c>
      <c r="C85" t="s">
        <v>275</v>
      </c>
      <c r="D85" t="s">
        <v>933</v>
      </c>
      <c r="E85" s="3" t="s">
        <v>1373</v>
      </c>
      <c r="F85" s="4" t="s">
        <v>1374</v>
      </c>
      <c r="G85" t="s">
        <v>2482</v>
      </c>
      <c r="H85" t="s">
        <v>1375</v>
      </c>
      <c r="I85" s="12" t="s">
        <v>1376</v>
      </c>
      <c r="J85" s="12" t="s">
        <v>1377</v>
      </c>
      <c r="K85" t="s">
        <v>983</v>
      </c>
      <c r="L85" t="str">
        <f>_xlfn.CONCAT(Tbl_Employee_Details[[#This Row],[First Name]],".",Tbl_Employee_Details[[#This Row],[Last Name]],"@saregama.com")</f>
        <v>Myer.Harriot@saregama.com</v>
      </c>
      <c r="M85" s="6">
        <f ca="1">(TODAY() - 'Employee Onboarding'!E85)/365.25</f>
        <v>15.493497604380561</v>
      </c>
      <c r="N85">
        <v>707523</v>
      </c>
      <c r="O85" s="13" t="s">
        <v>51</v>
      </c>
      <c r="P85" s="6">
        <f ca="1">YEARFRAC(Tbl_Employee_Details[[#This Row],[Date of Birth]],TODAY())</f>
        <v>43.097222222222221</v>
      </c>
      <c r="Q85" s="13" t="s">
        <v>964</v>
      </c>
      <c r="R85" s="2" t="s">
        <v>1019</v>
      </c>
      <c r="S85" s="11" t="str">
        <f>IF(ISNA(VLOOKUP(A85,Tbl_Exit_Formalities[Employee ID],1,FALSE)), "No", "Yes")</f>
        <v>No</v>
      </c>
      <c r="T85" s="22">
        <f ca="1">Tbl_Employee_Details[[#This Row],[Experience in SAREGAMA]]/((SUMIFS(Tbl_Employee_Details[Experience in SAREGAMA],Tbl_Employee_Details[Department],Tbl_Employee_Details[[#This Row],[Department]])))</f>
        <v>4.3812517419714467E-2</v>
      </c>
    </row>
    <row r="86" spans="1:20" x14ac:dyDescent="0.3">
      <c r="A86" s="2">
        <v>105959</v>
      </c>
      <c r="B86" t="s">
        <v>277</v>
      </c>
      <c r="C86" t="s">
        <v>278</v>
      </c>
      <c r="D86" t="s">
        <v>950</v>
      </c>
      <c r="E86" s="3" t="s">
        <v>1378</v>
      </c>
      <c r="F86" s="4" t="s">
        <v>1379</v>
      </c>
      <c r="G86" t="s">
        <v>2563</v>
      </c>
      <c r="H86" t="s">
        <v>1380</v>
      </c>
      <c r="I86" s="12" t="s">
        <v>1381</v>
      </c>
      <c r="J86" s="12" t="s">
        <v>1382</v>
      </c>
      <c r="K86" t="s">
        <v>1066</v>
      </c>
      <c r="L86" t="str">
        <f>_xlfn.CONCAT(Tbl_Employee_Details[[#This Row],[First Name]],".",Tbl_Employee_Details[[#This Row],[Last Name]],"@saregama.com")</f>
        <v>Candace.Antonchik@saregama.com</v>
      </c>
      <c r="M86" s="6">
        <f ca="1">(TODAY() - 'Employee Onboarding'!E86)/365.25</f>
        <v>7.1868583162217661</v>
      </c>
      <c r="N86">
        <v>631464</v>
      </c>
      <c r="O86" s="13" t="s">
        <v>63</v>
      </c>
      <c r="P86" s="6">
        <f ca="1">YEARFRAC(Tbl_Employee_Details[[#This Row],[Date of Birth]],TODAY())</f>
        <v>23.891666666666666</v>
      </c>
      <c r="Q86" s="13" t="s">
        <v>964</v>
      </c>
      <c r="R86" s="2" t="s">
        <v>949</v>
      </c>
      <c r="S86" s="11" t="str">
        <f>IF(ISNA(VLOOKUP(A86,Tbl_Exit_Formalities[Employee ID],1,FALSE)), "No", "Yes")</f>
        <v>No</v>
      </c>
      <c r="T86" s="22">
        <f ca="1">Tbl_Employee_Details[[#This Row],[Experience in SAREGAMA]]/((SUMIFS(Tbl_Employee_Details[Experience in SAREGAMA],Tbl_Employee_Details[Department],Tbl_Employee_Details[[#This Row],[Department]])))</f>
        <v>2.0323000216778665E-2</v>
      </c>
    </row>
    <row r="87" spans="1:20" x14ac:dyDescent="0.3">
      <c r="A87" s="2">
        <v>103750</v>
      </c>
      <c r="B87" t="s">
        <v>280</v>
      </c>
      <c r="C87" t="s">
        <v>281</v>
      </c>
      <c r="D87" t="s">
        <v>933</v>
      </c>
      <c r="E87" s="3" t="s">
        <v>1383</v>
      </c>
      <c r="F87" s="4" t="s">
        <v>1384</v>
      </c>
      <c r="G87" t="s">
        <v>2489</v>
      </c>
      <c r="H87" t="s">
        <v>1385</v>
      </c>
      <c r="I87" s="12" t="s">
        <v>1386</v>
      </c>
      <c r="J87" s="12" t="s">
        <v>1387</v>
      </c>
      <c r="K87" t="s">
        <v>989</v>
      </c>
      <c r="L87" t="str">
        <f>_xlfn.CONCAT(Tbl_Employee_Details[[#This Row],[First Name]],".",Tbl_Employee_Details[[#This Row],[Last Name]],"@saregama.com")</f>
        <v>Rickie.O'Codihie@saregama.com</v>
      </c>
      <c r="M87" s="6">
        <f ca="1">(TODAY() - 'Employee Onboarding'!E87)/365.25</f>
        <v>8.4572210814510616</v>
      </c>
      <c r="N87">
        <v>256888</v>
      </c>
      <c r="O87" s="13" t="s">
        <v>35</v>
      </c>
      <c r="P87" s="6">
        <f ca="1">YEARFRAC(Tbl_Employee_Details[[#This Row],[Date of Birth]],TODAY())</f>
        <v>42.411111111111111</v>
      </c>
      <c r="Q87" s="13" t="s">
        <v>1055</v>
      </c>
      <c r="R87" s="2" t="s">
        <v>949</v>
      </c>
      <c r="S87" s="11" t="str">
        <f>IF(ISNA(VLOOKUP(A87,Tbl_Exit_Formalities[Employee ID],1,FALSE)), "No", "Yes")</f>
        <v>No</v>
      </c>
      <c r="T87" s="22">
        <f ca="1">Tbl_Employee_Details[[#This Row],[Experience in SAREGAMA]]/((SUMIFS(Tbl_Employee_Details[Experience in SAREGAMA],Tbl_Employee_Details[Department],Tbl_Employee_Details[[#This Row],[Department]])))</f>
        <v>1.7729539858462144E-2</v>
      </c>
    </row>
    <row r="88" spans="1:20" x14ac:dyDescent="0.3">
      <c r="A88" s="2">
        <v>102398</v>
      </c>
      <c r="B88" t="s">
        <v>283</v>
      </c>
      <c r="C88" t="s">
        <v>284</v>
      </c>
      <c r="D88" t="s">
        <v>950</v>
      </c>
      <c r="E88" s="3" t="s">
        <v>1388</v>
      </c>
      <c r="F88" s="4" t="s">
        <v>1389</v>
      </c>
      <c r="G88" t="s">
        <v>2488</v>
      </c>
      <c r="H88" t="s">
        <v>1390</v>
      </c>
      <c r="I88" s="12" t="s">
        <v>1391</v>
      </c>
      <c r="J88" s="12" t="s">
        <v>1392</v>
      </c>
      <c r="K88" t="s">
        <v>989</v>
      </c>
      <c r="L88" t="str">
        <f>_xlfn.CONCAT(Tbl_Employee_Details[[#This Row],[First Name]],".",Tbl_Employee_Details[[#This Row],[Last Name]],"@saregama.com")</f>
        <v>Krystle.Warne@saregama.com</v>
      </c>
      <c r="M88" s="6">
        <f ca="1">(TODAY() - 'Employee Onboarding'!E88)/365.25</f>
        <v>14.559890485968515</v>
      </c>
      <c r="N88">
        <v>365409</v>
      </c>
      <c r="O88" s="13" t="s">
        <v>22</v>
      </c>
      <c r="P88" s="6">
        <f ca="1">YEARFRAC(Tbl_Employee_Details[[#This Row],[Date of Birth]],TODAY())</f>
        <v>25.708333333333332</v>
      </c>
      <c r="Q88" s="13" t="s">
        <v>1055</v>
      </c>
      <c r="R88" s="2" t="s">
        <v>996</v>
      </c>
      <c r="S88" s="11" t="str">
        <f>IF(ISNA(VLOOKUP(A88,Tbl_Exit_Formalities[Employee ID],1,FALSE)), "No", "Yes")</f>
        <v>No</v>
      </c>
      <c r="T88" s="22">
        <f ca="1">Tbl_Employee_Details[[#This Row],[Experience in SAREGAMA]]/((SUMIFS(Tbl_Employee_Details[Experience in SAREGAMA],Tbl_Employee_Details[Department],Tbl_Employee_Details[[#This Row],[Department]])))</f>
        <v>3.0523047253901477E-2</v>
      </c>
    </row>
    <row r="89" spans="1:20" x14ac:dyDescent="0.3">
      <c r="A89" s="2">
        <v>105245</v>
      </c>
      <c r="B89" t="s">
        <v>286</v>
      </c>
      <c r="C89" t="s">
        <v>287</v>
      </c>
      <c r="D89" t="s">
        <v>950</v>
      </c>
      <c r="E89" s="3" t="s">
        <v>1393</v>
      </c>
      <c r="F89" s="4" t="s">
        <v>1394</v>
      </c>
      <c r="G89" t="s">
        <v>2482</v>
      </c>
      <c r="H89" t="s">
        <v>1395</v>
      </c>
      <c r="I89" s="12" t="s">
        <v>1396</v>
      </c>
      <c r="J89" s="12" t="s">
        <v>1397</v>
      </c>
      <c r="K89" t="s">
        <v>983</v>
      </c>
      <c r="L89" t="str">
        <f>_xlfn.CONCAT(Tbl_Employee_Details[[#This Row],[First Name]],".",Tbl_Employee_Details[[#This Row],[Last Name]],"@saregama.com")</f>
        <v>Hilde.Glyssanne@saregama.com</v>
      </c>
      <c r="M89" s="6">
        <f ca="1">(TODAY() - 'Employee Onboarding'!E89)/365.25</f>
        <v>17.722108145106091</v>
      </c>
      <c r="N89">
        <v>188484</v>
      </c>
      <c r="O89" s="13" t="s">
        <v>113</v>
      </c>
      <c r="P89" s="6">
        <f ca="1">YEARFRAC(Tbl_Employee_Details[[#This Row],[Date of Birth]],TODAY())</f>
        <v>18.708333333333332</v>
      </c>
      <c r="Q89" s="13" t="s">
        <v>1055</v>
      </c>
      <c r="R89" s="2" t="s">
        <v>996</v>
      </c>
      <c r="S89" s="11" t="str">
        <f>IF(ISNA(VLOOKUP(A89,Tbl_Exit_Formalities[Employee ID],1,FALSE)), "No", "Yes")</f>
        <v>No</v>
      </c>
      <c r="T89" s="22">
        <f ca="1">Tbl_Employee_Details[[#This Row],[Experience in SAREGAMA]]/((SUMIFS(Tbl_Employee_Details[Experience in SAREGAMA],Tbl_Employee_Details[Department],Tbl_Employee_Details[[#This Row],[Department]])))</f>
        <v>3.7152253643193731E-2</v>
      </c>
    </row>
    <row r="90" spans="1:20" x14ac:dyDescent="0.3">
      <c r="A90" s="2">
        <v>104385</v>
      </c>
      <c r="B90" t="s">
        <v>289</v>
      </c>
      <c r="C90" t="s">
        <v>290</v>
      </c>
      <c r="D90" t="s">
        <v>950</v>
      </c>
      <c r="E90" s="3" t="s">
        <v>1398</v>
      </c>
      <c r="F90" s="4" t="s">
        <v>1399</v>
      </c>
      <c r="G90" t="s">
        <v>2526</v>
      </c>
      <c r="H90" t="s">
        <v>1400</v>
      </c>
      <c r="I90" s="12" t="s">
        <v>1401</v>
      </c>
      <c r="J90" s="12" t="s">
        <v>1402</v>
      </c>
      <c r="K90" t="s">
        <v>989</v>
      </c>
      <c r="L90" t="str">
        <f>_xlfn.CONCAT(Tbl_Employee_Details[[#This Row],[First Name]],".",Tbl_Employee_Details[[#This Row],[Last Name]],"@saregama.com")</f>
        <v>Antonie.Mokes@saregama.com</v>
      </c>
      <c r="M90" s="6">
        <f ca="1">(TODAY() - 'Employee Onboarding'!E90)/365.25</f>
        <v>26.38466803559206</v>
      </c>
      <c r="N90">
        <v>774247</v>
      </c>
      <c r="O90" s="13" t="s">
        <v>63</v>
      </c>
      <c r="P90" s="6">
        <f ca="1">YEARFRAC(Tbl_Employee_Details[[#This Row],[Date of Birth]],TODAY())</f>
        <v>26.472222222222221</v>
      </c>
      <c r="Q90" s="13" t="s">
        <v>964</v>
      </c>
      <c r="R90" s="2" t="s">
        <v>965</v>
      </c>
      <c r="S90" s="11" t="str">
        <f>IF(ISNA(VLOOKUP(A90,Tbl_Exit_Formalities[Employee ID],1,FALSE)), "No", "Yes")</f>
        <v>No</v>
      </c>
      <c r="T90" s="22">
        <f ca="1">Tbl_Employee_Details[[#This Row],[Experience in SAREGAMA]]/((SUMIFS(Tbl_Employee_Details[Experience in SAREGAMA],Tbl_Employee_Details[Department],Tbl_Employee_Details[[#This Row],[Department]])))</f>
        <v>7.4610572605369907E-2</v>
      </c>
    </row>
    <row r="91" spans="1:20" x14ac:dyDescent="0.3">
      <c r="A91" s="2">
        <v>106211</v>
      </c>
      <c r="B91" t="s">
        <v>292</v>
      </c>
      <c r="C91" t="s">
        <v>293</v>
      </c>
      <c r="D91" t="s">
        <v>933</v>
      </c>
      <c r="E91" s="3" t="s">
        <v>1403</v>
      </c>
      <c r="F91" s="4" t="s">
        <v>1404</v>
      </c>
      <c r="G91" t="s">
        <v>2490</v>
      </c>
      <c r="H91" t="s">
        <v>1405</v>
      </c>
      <c r="I91" s="12" t="s">
        <v>1406</v>
      </c>
      <c r="J91" s="12" t="s">
        <v>1407</v>
      </c>
      <c r="K91" t="s">
        <v>947</v>
      </c>
      <c r="L91" t="str">
        <f>_xlfn.CONCAT(Tbl_Employee_Details[[#This Row],[First Name]],".",Tbl_Employee_Details[[#This Row],[Last Name]],"@saregama.com")</f>
        <v>Llewellyn.Edgerly@saregama.com</v>
      </c>
      <c r="M91" s="6">
        <f ca="1">(TODAY() - 'Employee Onboarding'!E91)/365.25</f>
        <v>7.6194387405886381</v>
      </c>
      <c r="N91">
        <v>379193</v>
      </c>
      <c r="O91" s="13" t="s">
        <v>22</v>
      </c>
      <c r="P91" s="6">
        <f ca="1">YEARFRAC(Tbl_Employee_Details[[#This Row],[Date of Birth]],TODAY())</f>
        <v>42.158333333333331</v>
      </c>
      <c r="Q91" s="13" t="s">
        <v>1055</v>
      </c>
      <c r="R91" s="2" t="s">
        <v>977</v>
      </c>
      <c r="S91" s="11" t="str">
        <f>IF(ISNA(VLOOKUP(A91,Tbl_Exit_Formalities[Employee ID],1,FALSE)), "No", "Yes")</f>
        <v>No</v>
      </c>
      <c r="T91" s="22">
        <f ca="1">Tbl_Employee_Details[[#This Row],[Experience in SAREGAMA]]/((SUMIFS(Tbl_Employee_Details[Experience in SAREGAMA],Tbl_Employee_Details[Department],Tbl_Employee_Details[[#This Row],[Department]])))</f>
        <v>1.597323063324705E-2</v>
      </c>
    </row>
    <row r="92" spans="1:20" x14ac:dyDescent="0.3">
      <c r="A92" s="2">
        <v>104830</v>
      </c>
      <c r="B92" t="s">
        <v>295</v>
      </c>
      <c r="C92" t="s">
        <v>296</v>
      </c>
      <c r="D92" t="s">
        <v>950</v>
      </c>
      <c r="E92" s="3" t="s">
        <v>1408</v>
      </c>
      <c r="F92" s="4" t="s">
        <v>1409</v>
      </c>
      <c r="G92" t="s">
        <v>2527</v>
      </c>
      <c r="H92" t="s">
        <v>1410</v>
      </c>
      <c r="I92" s="12" t="s">
        <v>1411</v>
      </c>
      <c r="J92" s="12" t="s">
        <v>1412</v>
      </c>
      <c r="K92" t="s">
        <v>939</v>
      </c>
      <c r="L92" t="str">
        <f>_xlfn.CONCAT(Tbl_Employee_Details[[#This Row],[First Name]],".",Tbl_Employee_Details[[#This Row],[Last Name]],"@saregama.com")</f>
        <v>Gilbertina.Cashford@saregama.com</v>
      </c>
      <c r="M92" s="6">
        <f ca="1">(TODAY() - 'Employee Onboarding'!E92)/365.25</f>
        <v>3.0691307323750854</v>
      </c>
      <c r="N92">
        <v>1097058</v>
      </c>
      <c r="O92" s="13" t="s">
        <v>51</v>
      </c>
      <c r="P92" s="6">
        <f ca="1">YEARFRAC(Tbl_Employee_Details[[#This Row],[Date of Birth]],TODAY())</f>
        <v>40.130555555555553</v>
      </c>
      <c r="Q92" s="13" t="s">
        <v>1413</v>
      </c>
      <c r="R92" s="2" t="s">
        <v>949</v>
      </c>
      <c r="S92" s="11" t="str">
        <f>IF(ISNA(VLOOKUP(A92,Tbl_Exit_Formalities[Employee ID],1,FALSE)), "No", "Yes")</f>
        <v>No</v>
      </c>
      <c r="T92" s="22">
        <f ca="1">Tbl_Employee_Details[[#This Row],[Experience in SAREGAMA]]/((SUMIFS(Tbl_Employee_Details[Experience in SAREGAMA],Tbl_Employee_Details[Department],Tbl_Employee_Details[[#This Row],[Department]])))</f>
        <v>1.1144470513381318E-2</v>
      </c>
    </row>
    <row r="93" spans="1:20" x14ac:dyDescent="0.3">
      <c r="A93" s="2">
        <v>107965</v>
      </c>
      <c r="B93" t="s">
        <v>298</v>
      </c>
      <c r="C93" t="s">
        <v>299</v>
      </c>
      <c r="D93" t="s">
        <v>933</v>
      </c>
      <c r="E93" s="3" t="s">
        <v>1414</v>
      </c>
      <c r="F93" s="4" t="s">
        <v>1415</v>
      </c>
      <c r="G93" t="s">
        <v>2482</v>
      </c>
      <c r="H93" t="s">
        <v>1416</v>
      </c>
      <c r="I93" s="12" t="s">
        <v>1417</v>
      </c>
      <c r="J93" s="12" t="s">
        <v>1418</v>
      </c>
      <c r="K93" t="s">
        <v>947</v>
      </c>
      <c r="L93" t="str">
        <f>_xlfn.CONCAT(Tbl_Employee_Details[[#This Row],[First Name]],".",Tbl_Employee_Details[[#This Row],[Last Name]],"@saregama.com")</f>
        <v>Cordell.Salvador@saregama.com</v>
      </c>
      <c r="M93" s="6">
        <f ca="1">(TODAY() - 'Employee Onboarding'!E93)/365.25</f>
        <v>2.8117727583846679</v>
      </c>
      <c r="N93">
        <v>807130</v>
      </c>
      <c r="O93" s="13" t="s">
        <v>51</v>
      </c>
      <c r="P93" s="6">
        <f ca="1">YEARFRAC(Tbl_Employee_Details[[#This Row],[Date of Birth]],TODAY())</f>
        <v>25.291666666666668</v>
      </c>
      <c r="Q93" s="13" t="s">
        <v>940</v>
      </c>
      <c r="R93" s="2" t="s">
        <v>958</v>
      </c>
      <c r="S93" s="11" t="str">
        <f>IF(ISNA(VLOOKUP(A93,Tbl_Exit_Formalities[Employee ID],1,FALSE)), "No", "Yes")</f>
        <v>No</v>
      </c>
      <c r="T93" s="22">
        <f ca="1">Tbl_Employee_Details[[#This Row],[Experience in SAREGAMA]]/((SUMIFS(Tbl_Employee_Details[Experience in SAREGAMA],Tbl_Employee_Details[Department],Tbl_Employee_Details[[#This Row],[Department]])))</f>
        <v>9.0726786045566554E-3</v>
      </c>
    </row>
    <row r="94" spans="1:20" x14ac:dyDescent="0.3">
      <c r="A94" s="2">
        <v>103885</v>
      </c>
      <c r="B94" t="s">
        <v>301</v>
      </c>
      <c r="C94" t="s">
        <v>302</v>
      </c>
      <c r="D94" t="s">
        <v>950</v>
      </c>
      <c r="E94" s="3" t="s">
        <v>1419</v>
      </c>
      <c r="F94" s="4" t="s">
        <v>1420</v>
      </c>
      <c r="G94" t="s">
        <v>2486</v>
      </c>
      <c r="H94" t="s">
        <v>1421</v>
      </c>
      <c r="I94" s="12" t="s">
        <v>1422</v>
      </c>
      <c r="J94" s="12" t="s">
        <v>1423</v>
      </c>
      <c r="K94" t="s">
        <v>1013</v>
      </c>
      <c r="L94" t="str">
        <f>_xlfn.CONCAT(Tbl_Employee_Details[[#This Row],[First Name]],".",Tbl_Employee_Details[[#This Row],[Last Name]],"@saregama.com")</f>
        <v>Isabel.Breache@saregama.com</v>
      </c>
      <c r="M94" s="6">
        <f ca="1">(TODAY() - 'Employee Onboarding'!E94)/365.25</f>
        <v>22.11088295687885</v>
      </c>
      <c r="N94">
        <v>129305</v>
      </c>
      <c r="O94" s="13" t="s">
        <v>13</v>
      </c>
      <c r="P94" s="6">
        <f ca="1">YEARFRAC(Tbl_Employee_Details[[#This Row],[Date of Birth]],TODAY())</f>
        <v>39.466666666666669</v>
      </c>
      <c r="Q94" s="13" t="s">
        <v>1055</v>
      </c>
      <c r="R94" s="2" t="s">
        <v>1002</v>
      </c>
      <c r="S94" s="11" t="str">
        <f>IF(ISNA(VLOOKUP(A94,Tbl_Exit_Formalities[Employee ID],1,FALSE)), "No", "Yes")</f>
        <v>No</v>
      </c>
      <c r="T94" s="22">
        <f ca="1">Tbl_Employee_Details[[#This Row],[Experience in SAREGAMA]]/((SUMIFS(Tbl_Employee_Details[Experience in SAREGAMA],Tbl_Employee_Details[Department],Tbl_Employee_Details[[#This Row],[Department]])))</f>
        <v>4.6352788571362984E-2</v>
      </c>
    </row>
    <row r="95" spans="1:20" x14ac:dyDescent="0.3">
      <c r="A95" s="2">
        <v>105514</v>
      </c>
      <c r="B95" t="s">
        <v>304</v>
      </c>
      <c r="C95" t="s">
        <v>305</v>
      </c>
      <c r="D95" t="s">
        <v>950</v>
      </c>
      <c r="E95" s="3" t="s">
        <v>1424</v>
      </c>
      <c r="F95" s="4" t="s">
        <v>1425</v>
      </c>
      <c r="G95" t="s">
        <v>2486</v>
      </c>
      <c r="H95" t="s">
        <v>1426</v>
      </c>
      <c r="I95" s="12" t="s">
        <v>1427</v>
      </c>
      <c r="J95" s="12" t="s">
        <v>1428</v>
      </c>
      <c r="K95" t="s">
        <v>947</v>
      </c>
      <c r="L95" t="str">
        <f>_xlfn.CONCAT(Tbl_Employee_Details[[#This Row],[First Name]],".",Tbl_Employee_Details[[#This Row],[Last Name]],"@saregama.com")</f>
        <v>Steffane.Kewish@saregama.com</v>
      </c>
      <c r="M95" s="6">
        <f ca="1">(TODAY() - 'Employee Onboarding'!E95)/365.25</f>
        <v>23.121149897330596</v>
      </c>
      <c r="N95">
        <v>409481</v>
      </c>
      <c r="O95" s="13" t="s">
        <v>22</v>
      </c>
      <c r="P95" s="6">
        <f ca="1">YEARFRAC(Tbl_Employee_Details[[#This Row],[Date of Birth]],TODAY())</f>
        <v>37.638888888888886</v>
      </c>
      <c r="Q95" s="13" t="s">
        <v>1055</v>
      </c>
      <c r="R95" s="2" t="s">
        <v>996</v>
      </c>
      <c r="S95" s="11" t="str">
        <f>IF(ISNA(VLOOKUP(A95,Tbl_Exit_Formalities[Employee ID],1,FALSE)), "No", "Yes")</f>
        <v>Yes</v>
      </c>
      <c r="T95" s="22">
        <f ca="1">Tbl_Employee_Details[[#This Row],[Experience in SAREGAMA]]/((SUMIFS(Tbl_Employee_Details[Experience in SAREGAMA],Tbl_Employee_Details[Department],Tbl_Employee_Details[[#This Row],[Department]])))</f>
        <v>4.8470690872357655E-2</v>
      </c>
    </row>
    <row r="96" spans="1:20" x14ac:dyDescent="0.3">
      <c r="A96" s="2">
        <v>107899</v>
      </c>
      <c r="B96" t="s">
        <v>307</v>
      </c>
      <c r="C96" t="s">
        <v>308</v>
      </c>
      <c r="D96" t="s">
        <v>933</v>
      </c>
      <c r="E96" s="3" t="s">
        <v>1429</v>
      </c>
      <c r="F96" s="4" t="s">
        <v>1430</v>
      </c>
      <c r="G96" t="s">
        <v>2524</v>
      </c>
      <c r="H96" t="s">
        <v>1431</v>
      </c>
      <c r="I96" s="12" t="s">
        <v>1432</v>
      </c>
      <c r="J96" s="12" t="s">
        <v>1433</v>
      </c>
      <c r="K96" t="s">
        <v>939</v>
      </c>
      <c r="L96" t="str">
        <f>_xlfn.CONCAT(Tbl_Employee_Details[[#This Row],[First Name]],".",Tbl_Employee_Details[[#This Row],[Last Name]],"@saregama.com")</f>
        <v>Nick.Goodby@saregama.com</v>
      </c>
      <c r="M96" s="6">
        <f ca="1">(TODAY() - 'Employee Onboarding'!E96)/365.25</f>
        <v>5.6892539356605063</v>
      </c>
      <c r="N96">
        <v>751247</v>
      </c>
      <c r="O96" s="13" t="s">
        <v>51</v>
      </c>
      <c r="P96" s="6">
        <f ca="1">YEARFRAC(Tbl_Employee_Details[[#This Row],[Date of Birth]],TODAY())</f>
        <v>39.519444444444446</v>
      </c>
      <c r="Q96" s="13" t="s">
        <v>976</v>
      </c>
      <c r="R96" s="2" t="s">
        <v>965</v>
      </c>
      <c r="S96" s="11" t="str">
        <f>IF(ISNA(VLOOKUP(A96,Tbl_Exit_Formalities[Employee ID],1,FALSE)), "No", "Yes")</f>
        <v>No</v>
      </c>
      <c r="T96" s="22">
        <f ca="1">Tbl_Employee_Details[[#This Row],[Experience in SAREGAMA]]/((SUMIFS(Tbl_Employee_Details[Experience in SAREGAMA],Tbl_Employee_Details[Department],Tbl_Employee_Details[[#This Row],[Department]])))</f>
        <v>1.9430548412735518E-2</v>
      </c>
    </row>
    <row r="97" spans="1:20" x14ac:dyDescent="0.3">
      <c r="A97" s="2">
        <v>104730</v>
      </c>
      <c r="B97" t="s">
        <v>310</v>
      </c>
      <c r="C97" t="s">
        <v>311</v>
      </c>
      <c r="D97" t="s">
        <v>950</v>
      </c>
      <c r="E97" s="3" t="s">
        <v>1434</v>
      </c>
      <c r="F97" s="4" t="s">
        <v>1435</v>
      </c>
      <c r="G97" t="s">
        <v>2528</v>
      </c>
      <c r="H97" t="s">
        <v>1436</v>
      </c>
      <c r="I97" s="12" t="s">
        <v>1437</v>
      </c>
      <c r="J97" s="12" t="s">
        <v>1438</v>
      </c>
      <c r="K97" t="s">
        <v>956</v>
      </c>
      <c r="L97" t="str">
        <f>_xlfn.CONCAT(Tbl_Employee_Details[[#This Row],[First Name]],".",Tbl_Employee_Details[[#This Row],[Last Name]],"@saregama.com")</f>
        <v>Zondra.Fensome@saregama.com</v>
      </c>
      <c r="M97" s="6">
        <f ca="1">(TODAY() - 'Employee Onboarding'!E97)/365.25</f>
        <v>13.382614647501711</v>
      </c>
      <c r="N97">
        <v>410959</v>
      </c>
      <c r="O97" s="13" t="s">
        <v>22</v>
      </c>
      <c r="P97" s="6">
        <f ca="1">YEARFRAC(Tbl_Employee_Details[[#This Row],[Date of Birth]],TODAY())</f>
        <v>40.725000000000001</v>
      </c>
      <c r="Q97" s="13" t="s">
        <v>1055</v>
      </c>
      <c r="R97" s="2" t="s">
        <v>941</v>
      </c>
      <c r="S97" s="11" t="str">
        <f>IF(ISNA(VLOOKUP(A97,Tbl_Exit_Formalities[Employee ID],1,FALSE)), "No", "Yes")</f>
        <v>No</v>
      </c>
      <c r="T97" s="22">
        <f ca="1">Tbl_Employee_Details[[#This Row],[Experience in SAREGAMA]]/((SUMIFS(Tbl_Employee_Details[Experience in SAREGAMA],Tbl_Employee_Details[Department],Tbl_Employee_Details[[#This Row],[Department]])))</f>
        <v>2.8055031022390077E-2</v>
      </c>
    </row>
    <row r="98" spans="1:20" x14ac:dyDescent="0.3">
      <c r="A98" s="2">
        <v>104132</v>
      </c>
      <c r="B98" t="s">
        <v>313</v>
      </c>
      <c r="C98" t="s">
        <v>314</v>
      </c>
      <c r="D98" t="s">
        <v>933</v>
      </c>
      <c r="E98" s="3" t="s">
        <v>1439</v>
      </c>
      <c r="F98" s="4" t="s">
        <v>1440</v>
      </c>
      <c r="G98" t="s">
        <v>2487</v>
      </c>
      <c r="H98" t="s">
        <v>1441</v>
      </c>
      <c r="I98" s="12" t="s">
        <v>1442</v>
      </c>
      <c r="J98" s="12" t="s">
        <v>1443</v>
      </c>
      <c r="K98" t="s">
        <v>983</v>
      </c>
      <c r="L98" t="str">
        <f>_xlfn.CONCAT(Tbl_Employee_Details[[#This Row],[First Name]],".",Tbl_Employee_Details[[#This Row],[Last Name]],"@saregama.com")</f>
        <v>Conrad.Batteson@saregama.com</v>
      </c>
      <c r="M98" s="6">
        <f ca="1">(TODAY() - 'Employee Onboarding'!E98)/365.25</f>
        <v>28.386036960985628</v>
      </c>
      <c r="N98">
        <v>108160</v>
      </c>
      <c r="O98" s="13" t="s">
        <v>42</v>
      </c>
      <c r="P98" s="6">
        <f ca="1">YEARFRAC(Tbl_Employee_Details[[#This Row],[Date of Birth]],TODAY())</f>
        <v>36.19166666666667</v>
      </c>
      <c r="Q98" s="13" t="s">
        <v>1055</v>
      </c>
      <c r="R98" s="2" t="s">
        <v>949</v>
      </c>
      <c r="S98" s="11" t="str">
        <f>IF(ISNA(VLOOKUP(A98,Tbl_Exit_Formalities[Employee ID],1,FALSE)), "No", "Yes")</f>
        <v>No</v>
      </c>
      <c r="T98" s="22">
        <f ca="1">Tbl_Employee_Details[[#This Row],[Experience in SAREGAMA]]/((SUMIFS(Tbl_Employee_Details[Experience in SAREGAMA],Tbl_Employee_Details[Department],Tbl_Employee_Details[[#This Row],[Department]])))</f>
        <v>5.9507889042581898E-2</v>
      </c>
    </row>
    <row r="99" spans="1:20" x14ac:dyDescent="0.3">
      <c r="A99" s="2">
        <v>107839</v>
      </c>
      <c r="B99" t="s">
        <v>316</v>
      </c>
      <c r="C99" t="s">
        <v>317</v>
      </c>
      <c r="D99" t="s">
        <v>933</v>
      </c>
      <c r="E99" s="3" t="s">
        <v>1444</v>
      </c>
      <c r="F99" s="4" t="s">
        <v>1445</v>
      </c>
      <c r="G99" t="s">
        <v>2525</v>
      </c>
      <c r="H99" t="s">
        <v>1446</v>
      </c>
      <c r="I99" s="12" t="s">
        <v>1447</v>
      </c>
      <c r="J99" s="12" t="s">
        <v>1448</v>
      </c>
      <c r="K99" t="s">
        <v>939</v>
      </c>
      <c r="L99" t="str">
        <f>_xlfn.CONCAT(Tbl_Employee_Details[[#This Row],[First Name]],".",Tbl_Employee_Details[[#This Row],[Last Name]],"@saregama.com")</f>
        <v>Ashton.Loker@saregama.com</v>
      </c>
      <c r="M99" s="6">
        <f ca="1">(TODAY() - 'Employee Onboarding'!E99)/365.25</f>
        <v>34.403832991101986</v>
      </c>
      <c r="N99">
        <v>122431</v>
      </c>
      <c r="O99" s="13" t="s">
        <v>113</v>
      </c>
      <c r="P99" s="6">
        <f ca="1">YEARFRAC(Tbl_Employee_Details[[#This Row],[Date of Birth]],TODAY())</f>
        <v>37.788888888888891</v>
      </c>
      <c r="Q99" s="13" t="s">
        <v>1055</v>
      </c>
      <c r="R99" s="2" t="s">
        <v>958</v>
      </c>
      <c r="S99" s="11" t="str">
        <f>IF(ISNA(VLOOKUP(A99,Tbl_Exit_Formalities[Employee ID],1,FALSE)), "No", "Yes")</f>
        <v>No</v>
      </c>
      <c r="T99" s="22">
        <f ca="1">Tbl_Employee_Details[[#This Row],[Experience in SAREGAMA]]/((SUMIFS(Tbl_Employee_Details[Experience in SAREGAMA],Tbl_Employee_Details[Department],Tbl_Employee_Details[[#This Row],[Department]])))</f>
        <v>7.2123469686447159E-2</v>
      </c>
    </row>
    <row r="100" spans="1:20" x14ac:dyDescent="0.3">
      <c r="A100" s="2">
        <v>107810</v>
      </c>
      <c r="B100" t="s">
        <v>319</v>
      </c>
      <c r="C100" t="s">
        <v>320</v>
      </c>
      <c r="D100" t="s">
        <v>950</v>
      </c>
      <c r="E100" s="3" t="s">
        <v>1449</v>
      </c>
      <c r="F100" s="4" t="s">
        <v>1450</v>
      </c>
      <c r="G100" t="s">
        <v>2529</v>
      </c>
      <c r="H100" t="s">
        <v>1451</v>
      </c>
      <c r="I100" s="12" t="s">
        <v>1452</v>
      </c>
      <c r="J100" s="12" t="s">
        <v>1453</v>
      </c>
      <c r="K100" t="s">
        <v>947</v>
      </c>
      <c r="L100" t="str">
        <f>_xlfn.CONCAT(Tbl_Employee_Details[[#This Row],[First Name]],".",Tbl_Employee_Details[[#This Row],[Last Name]],"@saregama.com")</f>
        <v>Sallyanne.Twiggins@saregama.com</v>
      </c>
      <c r="M100" s="6">
        <f ca="1">(TODAY() - 'Employee Onboarding'!E100)/365.25</f>
        <v>23.578370978781656</v>
      </c>
      <c r="N100">
        <v>676058</v>
      </c>
      <c r="O100" s="13" t="s">
        <v>63</v>
      </c>
      <c r="P100" s="6">
        <f ca="1">YEARFRAC(Tbl_Employee_Details[[#This Row],[Date of Birth]],TODAY())</f>
        <v>28.977777777777778</v>
      </c>
      <c r="Q100" s="13" t="s">
        <v>990</v>
      </c>
      <c r="R100" s="2" t="s">
        <v>1019</v>
      </c>
      <c r="S100" s="11" t="str">
        <f>IF(ISNA(VLOOKUP(A100,Tbl_Exit_Formalities[Employee ID],1,FALSE)), "No", "Yes")</f>
        <v>No</v>
      </c>
      <c r="T100" s="22">
        <f ca="1">Tbl_Employee_Details[[#This Row],[Experience in SAREGAMA]]/((SUMIFS(Tbl_Employee_Details[Experience in SAREGAMA],Tbl_Employee_Details[Department],Tbl_Employee_Details[[#This Row],[Department]])))</f>
        <v>1.7478273929120849E-2</v>
      </c>
    </row>
    <row r="101" spans="1:20" x14ac:dyDescent="0.3">
      <c r="A101" s="2">
        <v>102329</v>
      </c>
      <c r="B101" t="s">
        <v>322</v>
      </c>
      <c r="C101" t="s">
        <v>323</v>
      </c>
      <c r="D101" t="s">
        <v>950</v>
      </c>
      <c r="E101" s="3" t="s">
        <v>1454</v>
      </c>
      <c r="F101" s="4" t="s">
        <v>1455</v>
      </c>
      <c r="G101" t="s">
        <v>2498</v>
      </c>
      <c r="H101" t="s">
        <v>1456</v>
      </c>
      <c r="I101" s="12" t="s">
        <v>1457</v>
      </c>
      <c r="J101" s="12" t="s">
        <v>1458</v>
      </c>
      <c r="K101" t="s">
        <v>983</v>
      </c>
      <c r="L101" t="str">
        <f>_xlfn.CONCAT(Tbl_Employee_Details[[#This Row],[First Name]],".",Tbl_Employee_Details[[#This Row],[Last Name]],"@saregama.com")</f>
        <v>Bernadene.Barker@saregama.com</v>
      </c>
      <c r="M101" s="6">
        <f ca="1">(TODAY() - 'Employee Onboarding'!E101)/365.25</f>
        <v>42.414784394250511</v>
      </c>
      <c r="N101">
        <v>134117</v>
      </c>
      <c r="O101" s="13" t="s">
        <v>42</v>
      </c>
      <c r="P101" s="6">
        <f ca="1">YEARFRAC(Tbl_Employee_Details[[#This Row],[Date of Birth]],TODAY())</f>
        <v>43.961111111111109</v>
      </c>
      <c r="Q101" s="13" t="s">
        <v>1055</v>
      </c>
      <c r="R101" s="2" t="s">
        <v>1019</v>
      </c>
      <c r="S101" s="11" t="str">
        <f>IF(ISNA(VLOOKUP(A101,Tbl_Exit_Formalities[Employee ID],1,FALSE)), "No", "Yes")</f>
        <v>No</v>
      </c>
      <c r="T101" s="22">
        <f ca="1">Tbl_Employee_Details[[#This Row],[Experience in SAREGAMA]]/((SUMIFS(Tbl_Employee_Details[Experience in SAREGAMA],Tbl_Employee_Details[Department],Tbl_Employee_Details[[#This Row],[Department]])))</f>
        <v>8.8917459205987523E-2</v>
      </c>
    </row>
    <row r="102" spans="1:20" x14ac:dyDescent="0.3">
      <c r="A102" s="2">
        <v>104729</v>
      </c>
      <c r="B102" t="s">
        <v>325</v>
      </c>
      <c r="C102" t="s">
        <v>326</v>
      </c>
      <c r="D102" t="s">
        <v>933</v>
      </c>
      <c r="E102" s="3" t="s">
        <v>1459</v>
      </c>
      <c r="F102" s="4" t="s">
        <v>1460</v>
      </c>
      <c r="G102" t="s">
        <v>2498</v>
      </c>
      <c r="H102" t="s">
        <v>1461</v>
      </c>
      <c r="I102" s="12" t="s">
        <v>1462</v>
      </c>
      <c r="J102" s="12" t="s">
        <v>1463</v>
      </c>
      <c r="K102" t="s">
        <v>983</v>
      </c>
      <c r="L102" t="str">
        <f>_xlfn.CONCAT(Tbl_Employee_Details[[#This Row],[First Name]],".",Tbl_Employee_Details[[#This Row],[Last Name]],"@saregama.com")</f>
        <v>Hurley.Barensen@saregama.com</v>
      </c>
      <c r="M102" s="6">
        <f ca="1">(TODAY() - 'Employee Onboarding'!E102)/365.25</f>
        <v>27.507186858316221</v>
      </c>
      <c r="N102">
        <v>362971</v>
      </c>
      <c r="O102" s="13" t="s">
        <v>85</v>
      </c>
      <c r="P102" s="6">
        <f ca="1">YEARFRAC(Tbl_Employee_Details[[#This Row],[Date of Birth]],TODAY())</f>
        <v>32.480555555555554</v>
      </c>
      <c r="Q102" s="13" t="s">
        <v>1055</v>
      </c>
      <c r="R102" s="2" t="s">
        <v>1019</v>
      </c>
      <c r="S102" s="11" t="str">
        <f>IF(ISNA(VLOOKUP(A102,Tbl_Exit_Formalities[Employee ID],1,FALSE)), "No", "Yes")</f>
        <v>No</v>
      </c>
      <c r="T102" s="22">
        <f ca="1">Tbl_Employee_Details[[#This Row],[Experience in SAREGAMA]]/((SUMIFS(Tbl_Employee_Details[Experience in SAREGAMA],Tbl_Employee_Details[Department],Tbl_Employee_Details[[#This Row],[Department]])))</f>
        <v>5.7665486227895475E-2</v>
      </c>
    </row>
    <row r="103" spans="1:20" x14ac:dyDescent="0.3">
      <c r="A103" s="2">
        <v>102235</v>
      </c>
      <c r="B103" t="s">
        <v>328</v>
      </c>
      <c r="C103" t="s">
        <v>329</v>
      </c>
      <c r="D103" t="s">
        <v>950</v>
      </c>
      <c r="E103" s="3" t="s">
        <v>1464</v>
      </c>
      <c r="F103" s="4" t="s">
        <v>1465</v>
      </c>
      <c r="G103" t="s">
        <v>2530</v>
      </c>
      <c r="H103" t="s">
        <v>1466</v>
      </c>
      <c r="I103" s="12" t="s">
        <v>1467</v>
      </c>
      <c r="J103" s="12" t="s">
        <v>1468</v>
      </c>
      <c r="K103" t="s">
        <v>1066</v>
      </c>
      <c r="L103" t="str">
        <f>_xlfn.CONCAT(Tbl_Employee_Details[[#This Row],[First Name]],".",Tbl_Employee_Details[[#This Row],[Last Name]],"@saregama.com")</f>
        <v>Cassandry.Enrigo@saregama.com</v>
      </c>
      <c r="M103" s="6">
        <f ca="1">(TODAY() - 'Employee Onboarding'!E103)/365.25</f>
        <v>25.678302532511978</v>
      </c>
      <c r="N103">
        <v>164349</v>
      </c>
      <c r="O103" s="13" t="s">
        <v>13</v>
      </c>
      <c r="P103" s="6">
        <f ca="1">YEARFRAC(Tbl_Employee_Details[[#This Row],[Date of Birth]],TODAY())</f>
        <v>44.791666666666664</v>
      </c>
      <c r="Q103" s="13" t="s">
        <v>1055</v>
      </c>
      <c r="R103" s="2" t="s">
        <v>965</v>
      </c>
      <c r="S103" s="11" t="str">
        <f>IF(ISNA(VLOOKUP(A103,Tbl_Exit_Formalities[Employee ID],1,FALSE)), "No", "Yes")</f>
        <v>No</v>
      </c>
      <c r="T103" s="22">
        <f ca="1">Tbl_Employee_Details[[#This Row],[Experience in SAREGAMA]]/((SUMIFS(Tbl_Employee_Details[Experience in SAREGAMA],Tbl_Employee_Details[Department],Tbl_Employee_Details[[#This Row],[Department]])))</f>
        <v>5.3831451710105671E-2</v>
      </c>
    </row>
    <row r="104" spans="1:20" x14ac:dyDescent="0.3">
      <c r="A104" s="2">
        <v>106629</v>
      </c>
      <c r="B104" t="s">
        <v>331</v>
      </c>
      <c r="C104" t="s">
        <v>332</v>
      </c>
      <c r="D104" t="s">
        <v>950</v>
      </c>
      <c r="E104" s="3" t="s">
        <v>1469</v>
      </c>
      <c r="F104" s="4" t="s">
        <v>1470</v>
      </c>
      <c r="G104" t="s">
        <v>2563</v>
      </c>
      <c r="H104" t="s">
        <v>1471</v>
      </c>
      <c r="I104" s="12" t="s">
        <v>1472</v>
      </c>
      <c r="J104" s="12" t="s">
        <v>1473</v>
      </c>
      <c r="K104" t="s">
        <v>947</v>
      </c>
      <c r="L104" t="str">
        <f>_xlfn.CONCAT(Tbl_Employee_Details[[#This Row],[First Name]],".",Tbl_Employee_Details[[#This Row],[Last Name]],"@saregama.com")</f>
        <v>Alessandra.Pacey@saregama.com</v>
      </c>
      <c r="M104" s="6">
        <f ca="1">(TODAY() - 'Employee Onboarding'!E104)/365.25</f>
        <v>14.091718001368925</v>
      </c>
      <c r="N104">
        <v>776775</v>
      </c>
      <c r="O104" s="13" t="s">
        <v>63</v>
      </c>
      <c r="P104" s="6">
        <f ca="1">YEARFRAC(Tbl_Employee_Details[[#This Row],[Date of Birth]],TODAY())</f>
        <v>23.541666666666668</v>
      </c>
      <c r="Q104" s="13" t="s">
        <v>940</v>
      </c>
      <c r="R104" s="2" t="s">
        <v>949</v>
      </c>
      <c r="S104" s="11" t="str">
        <f>IF(ISNA(VLOOKUP(A104,Tbl_Exit_Formalities[Employee ID],1,FALSE)), "No", "Yes")</f>
        <v>No</v>
      </c>
      <c r="T104" s="22">
        <f ca="1">Tbl_Employee_Details[[#This Row],[Experience in SAREGAMA]]/((SUMIFS(Tbl_Employee_Details[Experience in SAREGAMA],Tbl_Employee_Details[Department],Tbl_Employee_Details[[#This Row],[Department]])))</f>
        <v>4.5469402899370112E-2</v>
      </c>
    </row>
    <row r="105" spans="1:20" x14ac:dyDescent="0.3">
      <c r="A105" s="2">
        <v>107193</v>
      </c>
      <c r="B105" t="s">
        <v>334</v>
      </c>
      <c r="C105" t="s">
        <v>335</v>
      </c>
      <c r="D105" t="s">
        <v>950</v>
      </c>
      <c r="E105" s="3" t="s">
        <v>1474</v>
      </c>
      <c r="F105" s="4" t="s">
        <v>1475</v>
      </c>
      <c r="G105" t="s">
        <v>2531</v>
      </c>
      <c r="H105" t="s">
        <v>1476</v>
      </c>
      <c r="I105" s="12" t="s">
        <v>1477</v>
      </c>
      <c r="J105" s="12" t="s">
        <v>1478</v>
      </c>
      <c r="K105" t="s">
        <v>989</v>
      </c>
      <c r="L105" t="str">
        <f>_xlfn.CONCAT(Tbl_Employee_Details[[#This Row],[First Name]],".",Tbl_Employee_Details[[#This Row],[Last Name]],"@saregama.com")</f>
        <v>Elsy.Gallo@saregama.com</v>
      </c>
      <c r="M105" s="6">
        <f ca="1">(TODAY() - 'Employee Onboarding'!E105)/365.25</f>
        <v>28.23545516769336</v>
      </c>
      <c r="N105">
        <v>167825</v>
      </c>
      <c r="O105" s="13" t="s">
        <v>46</v>
      </c>
      <c r="P105" s="6">
        <f ca="1">YEARFRAC(Tbl_Employee_Details[[#This Row],[Date of Birth]],TODAY())</f>
        <v>38.44166666666667</v>
      </c>
      <c r="Q105" s="13" t="s">
        <v>1055</v>
      </c>
      <c r="R105" s="2" t="s">
        <v>965</v>
      </c>
      <c r="S105" s="11" t="str">
        <f>IF(ISNA(VLOOKUP(A105,Tbl_Exit_Formalities[Employee ID],1,FALSE)), "No", "Yes")</f>
        <v>No</v>
      </c>
      <c r="T105" s="22">
        <f ca="1">Tbl_Employee_Details[[#This Row],[Experience in SAREGAMA]]/((SUMIFS(Tbl_Employee_Details[Experience in SAREGAMA],Tbl_Employee_Details[Department],Tbl_Employee_Details[[#This Row],[Department]])))</f>
        <v>5.9192212547853694E-2</v>
      </c>
    </row>
    <row r="106" spans="1:20" x14ac:dyDescent="0.3">
      <c r="A106" s="2">
        <v>107920</v>
      </c>
      <c r="B106" t="s">
        <v>337</v>
      </c>
      <c r="C106" t="s">
        <v>338</v>
      </c>
      <c r="D106" t="s">
        <v>933</v>
      </c>
      <c r="E106" s="3" t="s">
        <v>1479</v>
      </c>
      <c r="F106" s="4" t="s">
        <v>1480</v>
      </c>
      <c r="G106" t="s">
        <v>2532</v>
      </c>
      <c r="H106" t="s">
        <v>1481</v>
      </c>
      <c r="I106" s="12" t="s">
        <v>1482</v>
      </c>
      <c r="J106" s="12" t="s">
        <v>1483</v>
      </c>
      <c r="K106" t="s">
        <v>989</v>
      </c>
      <c r="L106" t="str">
        <f>_xlfn.CONCAT(Tbl_Employee_Details[[#This Row],[First Name]],".",Tbl_Employee_Details[[#This Row],[Last Name]],"@saregama.com")</f>
        <v>Hewett.O'Doran@saregama.com</v>
      </c>
      <c r="M106" s="6">
        <f ca="1">(TODAY() - 'Employee Onboarding'!E106)/365.25</f>
        <v>30.677618069815196</v>
      </c>
      <c r="N106">
        <v>125415</v>
      </c>
      <c r="O106" s="13" t="s">
        <v>113</v>
      </c>
      <c r="P106" s="6">
        <f ca="1">YEARFRAC(Tbl_Employee_Details[[#This Row],[Date of Birth]],TODAY())</f>
        <v>32.74722222222222</v>
      </c>
      <c r="Q106" s="13" t="s">
        <v>1413</v>
      </c>
      <c r="R106" s="2" t="s">
        <v>958</v>
      </c>
      <c r="S106" s="11" t="str">
        <f>IF(ISNA(VLOOKUP(A106,Tbl_Exit_Formalities[Employee ID],1,FALSE)), "No", "Yes")</f>
        <v>No</v>
      </c>
      <c r="T106" s="22">
        <f ca="1">Tbl_Employee_Details[[#This Row],[Experience in SAREGAMA]]/((SUMIFS(Tbl_Employee_Details[Experience in SAREGAMA],Tbl_Employee_Details[Department],Tbl_Employee_Details[[#This Row],[Department]])))</f>
        <v>0.11139499741519865</v>
      </c>
    </row>
    <row r="107" spans="1:20" x14ac:dyDescent="0.3">
      <c r="A107" s="2">
        <v>105205</v>
      </c>
      <c r="B107" t="s">
        <v>340</v>
      </c>
      <c r="C107" t="s">
        <v>341</v>
      </c>
      <c r="D107" t="s">
        <v>933</v>
      </c>
      <c r="E107" s="3" t="s">
        <v>1484</v>
      </c>
      <c r="F107" s="4" t="s">
        <v>1485</v>
      </c>
      <c r="G107" t="s">
        <v>2533</v>
      </c>
      <c r="H107" t="s">
        <v>1486</v>
      </c>
      <c r="I107" s="12" t="s">
        <v>1487</v>
      </c>
      <c r="J107" s="12" t="s">
        <v>1488</v>
      </c>
      <c r="K107" t="s">
        <v>1013</v>
      </c>
      <c r="L107" t="str">
        <f>_xlfn.CONCAT(Tbl_Employee_Details[[#This Row],[First Name]],".",Tbl_Employee_Details[[#This Row],[Last Name]],"@saregama.com")</f>
        <v>Niko.Derbyshire@saregama.com</v>
      </c>
      <c r="M107" s="6">
        <f ca="1">(TODAY() - 'Employee Onboarding'!E107)/365.25</f>
        <v>17.839835728952771</v>
      </c>
      <c r="N107">
        <v>313833</v>
      </c>
      <c r="O107" s="13" t="s">
        <v>35</v>
      </c>
      <c r="P107" s="6">
        <f ca="1">YEARFRAC(Tbl_Employee_Details[[#This Row],[Date of Birth]],TODAY())</f>
        <v>42.947222222222223</v>
      </c>
      <c r="Q107" s="13" t="s">
        <v>1413</v>
      </c>
      <c r="R107" s="2" t="s">
        <v>941</v>
      </c>
      <c r="S107" s="11" t="str">
        <f>IF(ISNA(VLOOKUP(A107,Tbl_Exit_Formalities[Employee ID],1,FALSE)), "No", "Yes")</f>
        <v>No</v>
      </c>
      <c r="T107" s="22">
        <f ca="1">Tbl_Employee_Details[[#This Row],[Experience in SAREGAMA]]/((SUMIFS(Tbl_Employee_Details[Experience in SAREGAMA],Tbl_Employee_Details[Department],Tbl_Employee_Details[[#This Row],[Department]])))</f>
        <v>6.4779098898476953E-2</v>
      </c>
    </row>
    <row r="108" spans="1:20" x14ac:dyDescent="0.3">
      <c r="A108" s="2">
        <v>106561</v>
      </c>
      <c r="B108" t="s">
        <v>343</v>
      </c>
      <c r="C108" t="s">
        <v>344</v>
      </c>
      <c r="D108" t="s">
        <v>950</v>
      </c>
      <c r="E108" s="3" t="s">
        <v>1489</v>
      </c>
      <c r="F108" s="4" t="s">
        <v>1490</v>
      </c>
      <c r="G108" t="s">
        <v>2534</v>
      </c>
      <c r="H108" t="s">
        <v>1491</v>
      </c>
      <c r="I108" s="12" t="s">
        <v>1492</v>
      </c>
      <c r="J108" s="12" t="s">
        <v>1493</v>
      </c>
      <c r="K108" t="s">
        <v>947</v>
      </c>
      <c r="L108" t="str">
        <f>_xlfn.CONCAT(Tbl_Employee_Details[[#This Row],[First Name]],".",Tbl_Employee_Details[[#This Row],[Last Name]],"@saregama.com")</f>
        <v>Deeanne.De Gregoli@saregama.com</v>
      </c>
      <c r="M108" s="6">
        <f ca="1">(TODAY() - 'Employee Onboarding'!E108)/365.25</f>
        <v>7.6331279945242985</v>
      </c>
      <c r="N108">
        <v>425094</v>
      </c>
      <c r="O108" s="13" t="s">
        <v>22</v>
      </c>
      <c r="P108" s="6">
        <f ca="1">YEARFRAC(Tbl_Employee_Details[[#This Row],[Date of Birth]],TODAY())</f>
        <v>23.358333333333334</v>
      </c>
      <c r="Q108" s="13" t="s">
        <v>1413</v>
      </c>
      <c r="R108" s="2" t="s">
        <v>958</v>
      </c>
      <c r="S108" s="11" t="str">
        <f>IF(ISNA(VLOOKUP(A108,Tbl_Exit_Formalities[Employee ID],1,FALSE)), "No", "Yes")</f>
        <v>Yes</v>
      </c>
      <c r="T108" s="22">
        <f ca="1">Tbl_Employee_Details[[#This Row],[Experience in SAREGAMA]]/((SUMIFS(Tbl_Employee_Details[Experience in SAREGAMA],Tbl_Employee_Details[Department],Tbl_Employee_Details[[#This Row],[Department]])))</f>
        <v>2.7717023899471113E-2</v>
      </c>
    </row>
    <row r="109" spans="1:20" x14ac:dyDescent="0.3">
      <c r="A109" s="2">
        <v>106723</v>
      </c>
      <c r="B109" t="s">
        <v>346</v>
      </c>
      <c r="C109" t="s">
        <v>347</v>
      </c>
      <c r="D109" t="s">
        <v>933</v>
      </c>
      <c r="E109" s="3" t="s">
        <v>1494</v>
      </c>
      <c r="F109" s="4" t="s">
        <v>1495</v>
      </c>
      <c r="G109" t="s">
        <v>2482</v>
      </c>
      <c r="H109" t="s">
        <v>1496</v>
      </c>
      <c r="I109" s="12" t="s">
        <v>1497</v>
      </c>
      <c r="J109" s="12" t="s">
        <v>1498</v>
      </c>
      <c r="K109" t="s">
        <v>989</v>
      </c>
      <c r="L109" t="str">
        <f>_xlfn.CONCAT(Tbl_Employee_Details[[#This Row],[First Name]],".",Tbl_Employee_Details[[#This Row],[Last Name]],"@saregama.com")</f>
        <v>Sydney.Woodison@saregama.com</v>
      </c>
      <c r="M109" s="6">
        <f ca="1">(TODAY() - 'Employee Onboarding'!E109)/365.25</f>
        <v>16.93634496919918</v>
      </c>
      <c r="N109">
        <v>195232</v>
      </c>
      <c r="O109" s="13" t="s">
        <v>46</v>
      </c>
      <c r="P109" s="6">
        <f ca="1">YEARFRAC(Tbl_Employee_Details[[#This Row],[Date of Birth]],TODAY())</f>
        <v>26.55</v>
      </c>
      <c r="Q109" s="13" t="s">
        <v>1413</v>
      </c>
      <c r="R109" s="2" t="s">
        <v>958</v>
      </c>
      <c r="S109" s="11" t="str">
        <f>IF(ISNA(VLOOKUP(A109,Tbl_Exit_Formalities[Employee ID],1,FALSE)), "No", "Yes")</f>
        <v>No</v>
      </c>
      <c r="T109" s="22">
        <f ca="1">Tbl_Employee_Details[[#This Row],[Experience in SAREGAMA]]/((SUMIFS(Tbl_Employee_Details[Experience in SAREGAMA],Tbl_Employee_Details[Department],Tbl_Employee_Details[[#This Row],[Department]])))</f>
        <v>6.1498389469916898E-2</v>
      </c>
    </row>
    <row r="110" spans="1:20" x14ac:dyDescent="0.3">
      <c r="A110" s="2">
        <v>103437</v>
      </c>
      <c r="B110" t="s">
        <v>349</v>
      </c>
      <c r="C110" t="s">
        <v>350</v>
      </c>
      <c r="D110" t="s">
        <v>933</v>
      </c>
      <c r="E110" s="3" t="s">
        <v>1499</v>
      </c>
      <c r="F110" s="4" t="s">
        <v>1500</v>
      </c>
      <c r="G110" t="s">
        <v>2486</v>
      </c>
      <c r="H110" t="s">
        <v>1501</v>
      </c>
      <c r="I110" s="12" t="s">
        <v>1502</v>
      </c>
      <c r="J110" s="12" t="s">
        <v>1503</v>
      </c>
      <c r="K110" t="s">
        <v>983</v>
      </c>
      <c r="L110" t="str">
        <f>_xlfn.CONCAT(Tbl_Employee_Details[[#This Row],[First Name]],".",Tbl_Employee_Details[[#This Row],[Last Name]],"@saregama.com")</f>
        <v>Mauricio.Coon@saregama.com</v>
      </c>
      <c r="M110" s="6">
        <f ca="1">(TODAY() - 'Employee Onboarding'!E110)/365.25</f>
        <v>9.3223819301848057</v>
      </c>
      <c r="N110">
        <v>447248</v>
      </c>
      <c r="O110" s="13" t="s">
        <v>85</v>
      </c>
      <c r="P110" s="6">
        <f ca="1">YEARFRAC(Tbl_Employee_Details[[#This Row],[Date of Birth]],TODAY())</f>
        <v>18.18888888888889</v>
      </c>
      <c r="Q110" s="13" t="s">
        <v>1413</v>
      </c>
      <c r="R110" s="2" t="s">
        <v>1002</v>
      </c>
      <c r="S110" s="11" t="str">
        <f>IF(ISNA(VLOOKUP(A110,Tbl_Exit_Formalities[Employee ID],1,FALSE)), "No", "Yes")</f>
        <v>Yes</v>
      </c>
      <c r="T110" s="22">
        <f ca="1">Tbl_Employee_Details[[#This Row],[Experience in SAREGAMA]]/((SUMIFS(Tbl_Employee_Details[Experience in SAREGAMA],Tbl_Employee_Details[Department],Tbl_Employee_Details[[#This Row],[Department]])))</f>
        <v>3.3850956376506154E-2</v>
      </c>
    </row>
    <row r="111" spans="1:20" x14ac:dyDescent="0.3">
      <c r="A111" s="2">
        <v>104872</v>
      </c>
      <c r="B111" t="s">
        <v>352</v>
      </c>
      <c r="C111" t="s">
        <v>353</v>
      </c>
      <c r="D111" t="s">
        <v>933</v>
      </c>
      <c r="E111" s="3" t="s">
        <v>1504</v>
      </c>
      <c r="F111" s="4" t="s">
        <v>1505</v>
      </c>
      <c r="G111" t="s">
        <v>2511</v>
      </c>
      <c r="H111" t="s">
        <v>1506</v>
      </c>
      <c r="I111" s="12" t="s">
        <v>1507</v>
      </c>
      <c r="J111" s="12" t="s">
        <v>1508</v>
      </c>
      <c r="K111" t="s">
        <v>947</v>
      </c>
      <c r="L111" t="str">
        <f>_xlfn.CONCAT(Tbl_Employee_Details[[#This Row],[First Name]],".",Tbl_Employee_Details[[#This Row],[Last Name]],"@saregama.com")</f>
        <v>Giraud.Tabour@saregama.com</v>
      </c>
      <c r="M111" s="6">
        <f ca="1">(TODAY() - 'Employee Onboarding'!E111)/365.25</f>
        <v>25.221081451060918</v>
      </c>
      <c r="N111">
        <v>723272</v>
      </c>
      <c r="O111" s="13" t="s">
        <v>63</v>
      </c>
      <c r="P111" s="6">
        <f ca="1">YEARFRAC(Tbl_Employee_Details[[#This Row],[Date of Birth]],TODAY())</f>
        <v>31.766666666666666</v>
      </c>
      <c r="Q111" s="13" t="s">
        <v>948</v>
      </c>
      <c r="R111" s="2" t="s">
        <v>941</v>
      </c>
      <c r="S111" s="11" t="str">
        <f>IF(ISNA(VLOOKUP(A111,Tbl_Exit_Formalities[Employee ID],1,FALSE)), "No", "Yes")</f>
        <v>No</v>
      </c>
      <c r="T111" s="22">
        <f ca="1">Tbl_Employee_Details[[#This Row],[Experience in SAREGAMA]]/((SUMIFS(Tbl_Employee_Details[Experience in SAREGAMA],Tbl_Employee_Details[Department],Tbl_Employee_Details[[#This Row],[Department]])))</f>
        <v>6.4841275427606121E-2</v>
      </c>
    </row>
    <row r="112" spans="1:20" x14ac:dyDescent="0.3">
      <c r="A112" s="2">
        <v>103770</v>
      </c>
      <c r="B112" t="s">
        <v>355</v>
      </c>
      <c r="C112" t="s">
        <v>356</v>
      </c>
      <c r="D112" t="s">
        <v>933</v>
      </c>
      <c r="E112" s="3" t="s">
        <v>1509</v>
      </c>
      <c r="F112" s="4" t="s">
        <v>1510</v>
      </c>
      <c r="G112" t="s">
        <v>2482</v>
      </c>
      <c r="H112" t="s">
        <v>1511</v>
      </c>
      <c r="I112" s="12" t="s">
        <v>1512</v>
      </c>
      <c r="J112" s="12" t="s">
        <v>1513</v>
      </c>
      <c r="K112" t="s">
        <v>956</v>
      </c>
      <c r="L112" t="str">
        <f>_xlfn.CONCAT(Tbl_Employee_Details[[#This Row],[First Name]],".",Tbl_Employee_Details[[#This Row],[Last Name]],"@saregama.com")</f>
        <v>Lin.Chittie@saregama.com</v>
      </c>
      <c r="M112" s="6">
        <f ca="1">(TODAY() - 'Employee Onboarding'!E112)/365.25</f>
        <v>5.2731006160164275</v>
      </c>
      <c r="N112">
        <v>185316</v>
      </c>
      <c r="O112" s="13" t="s">
        <v>13</v>
      </c>
      <c r="P112" s="6">
        <f ca="1">YEARFRAC(Tbl_Employee_Details[[#This Row],[Date of Birth]],TODAY())</f>
        <v>26.408333333333335</v>
      </c>
      <c r="Q112" s="13" t="s">
        <v>1413</v>
      </c>
      <c r="R112" s="2" t="s">
        <v>1002</v>
      </c>
      <c r="S112" s="11" t="str">
        <f>IF(ISNA(VLOOKUP(A112,Tbl_Exit_Formalities[Employee ID],1,FALSE)), "No", "Yes")</f>
        <v>No</v>
      </c>
      <c r="T112" s="22">
        <f ca="1">Tbl_Employee_Details[[#This Row],[Experience in SAREGAMA]]/((SUMIFS(Tbl_Employee_Details[Experience in SAREGAMA],Tbl_Employee_Details[Department],Tbl_Employee_Details[[#This Row],[Department]])))</f>
        <v>1.9147413210323302E-2</v>
      </c>
    </row>
    <row r="113" spans="1:20" x14ac:dyDescent="0.3">
      <c r="A113" s="2">
        <v>102343</v>
      </c>
      <c r="B113" t="s">
        <v>358</v>
      </c>
      <c r="C113" t="s">
        <v>359</v>
      </c>
      <c r="D113" t="s">
        <v>933</v>
      </c>
      <c r="E113" s="3" t="s">
        <v>1514</v>
      </c>
      <c r="F113" s="4" t="s">
        <v>1515</v>
      </c>
      <c r="G113" t="s">
        <v>2563</v>
      </c>
      <c r="H113" t="s">
        <v>1516</v>
      </c>
      <c r="I113" s="12" t="s">
        <v>1517</v>
      </c>
      <c r="J113" s="12" t="s">
        <v>1518</v>
      </c>
      <c r="K113" t="s">
        <v>1066</v>
      </c>
      <c r="L113" t="str">
        <f>_xlfn.CONCAT(Tbl_Employee_Details[[#This Row],[First Name]],".",Tbl_Employee_Details[[#This Row],[Last Name]],"@saregama.com")</f>
        <v>Jecho.Willment@saregama.com</v>
      </c>
      <c r="M113" s="6">
        <f ca="1">(TODAY() - 'Employee Onboarding'!E113)/365.25</f>
        <v>29.99315537303217</v>
      </c>
      <c r="N113">
        <v>567452</v>
      </c>
      <c r="O113" s="13" t="s">
        <v>63</v>
      </c>
      <c r="P113" s="6">
        <f ca="1">YEARFRAC(Tbl_Employee_Details[[#This Row],[Date of Birth]],TODAY())</f>
        <v>33.736111111111114</v>
      </c>
      <c r="Q113" s="13" t="s">
        <v>1262</v>
      </c>
      <c r="R113" s="2" t="s">
        <v>949</v>
      </c>
      <c r="S113" s="11" t="str">
        <f>IF(ISNA(VLOOKUP(A113,Tbl_Exit_Formalities[Employee ID],1,FALSE)), "No", "Yes")</f>
        <v>No</v>
      </c>
      <c r="T113" s="22">
        <f ca="1">Tbl_Employee_Details[[#This Row],[Experience in SAREGAMA]]/((SUMIFS(Tbl_Employee_Details[Experience in SAREGAMA],Tbl_Employee_Details[Department],Tbl_Employee_Details[[#This Row],[Department]])))</f>
        <v>8.545508440200944E-2</v>
      </c>
    </row>
    <row r="114" spans="1:20" x14ac:dyDescent="0.3">
      <c r="A114" s="2">
        <v>104762</v>
      </c>
      <c r="B114" t="s">
        <v>361</v>
      </c>
      <c r="C114" t="s">
        <v>362</v>
      </c>
      <c r="D114" t="s">
        <v>933</v>
      </c>
      <c r="E114" s="3" t="s">
        <v>1519</v>
      </c>
      <c r="F114" s="4" t="s">
        <v>1520</v>
      </c>
      <c r="G114" t="s">
        <v>2503</v>
      </c>
      <c r="H114" t="s">
        <v>1521</v>
      </c>
      <c r="I114" s="12" t="s">
        <v>1522</v>
      </c>
      <c r="J114" s="12" t="s">
        <v>1523</v>
      </c>
      <c r="K114" t="s">
        <v>939</v>
      </c>
      <c r="L114" t="str">
        <f>_xlfn.CONCAT(Tbl_Employee_Details[[#This Row],[First Name]],".",Tbl_Employee_Details[[#This Row],[Last Name]],"@saregama.com")</f>
        <v>Lauritz.Domican@saregama.com</v>
      </c>
      <c r="M114" s="6">
        <f ca="1">(TODAY() - 'Employee Onboarding'!E114)/365.25</f>
        <v>20.621492128678987</v>
      </c>
      <c r="N114">
        <v>166755</v>
      </c>
      <c r="O114" s="13" t="s">
        <v>42</v>
      </c>
      <c r="P114" s="6">
        <f ca="1">YEARFRAC(Tbl_Employee_Details[[#This Row],[Date of Birth]],TODAY())</f>
        <v>27.455555555555556</v>
      </c>
      <c r="Q114" s="13" t="s">
        <v>1413</v>
      </c>
      <c r="R114" s="2" t="s">
        <v>958</v>
      </c>
      <c r="S114" s="11" t="str">
        <f>IF(ISNA(VLOOKUP(A114,Tbl_Exit_Formalities[Employee ID],1,FALSE)), "No", "Yes")</f>
        <v>No</v>
      </c>
      <c r="T114" s="22">
        <f ca="1">Tbl_Employee_Details[[#This Row],[Experience in SAREGAMA]]/((SUMIFS(Tbl_Employee_Details[Experience in SAREGAMA],Tbl_Employee_Details[Department],Tbl_Employee_Details[[#This Row],[Department]])))</f>
        <v>7.487970732095281E-2</v>
      </c>
    </row>
    <row r="115" spans="1:20" x14ac:dyDescent="0.3">
      <c r="A115" s="2">
        <v>104928</v>
      </c>
      <c r="B115" t="s">
        <v>364</v>
      </c>
      <c r="C115" t="s">
        <v>365</v>
      </c>
      <c r="D115" t="s">
        <v>950</v>
      </c>
      <c r="E115" s="3" t="s">
        <v>1524</v>
      </c>
      <c r="F115" s="4" t="s">
        <v>1525</v>
      </c>
      <c r="G115" t="s">
        <v>2482</v>
      </c>
      <c r="H115" t="s">
        <v>1526</v>
      </c>
      <c r="I115" s="12" t="s">
        <v>1527</v>
      </c>
      <c r="J115" s="12" t="s">
        <v>1528</v>
      </c>
      <c r="K115" t="s">
        <v>983</v>
      </c>
      <c r="L115" t="str">
        <f>_xlfn.CONCAT(Tbl_Employee_Details[[#This Row],[First Name]],".",Tbl_Employee_Details[[#This Row],[Last Name]],"@saregama.com")</f>
        <v>Hillary.Paddock@saregama.com</v>
      </c>
      <c r="M115" s="6">
        <f ca="1">(TODAY() - 'Employee Onboarding'!E115)/365.25</f>
        <v>7.1321013004791238</v>
      </c>
      <c r="N115">
        <v>198686</v>
      </c>
      <c r="O115" s="13" t="s">
        <v>13</v>
      </c>
      <c r="P115" s="6">
        <f ca="1">YEARFRAC(Tbl_Employee_Details[[#This Row],[Date of Birth]],TODAY())</f>
        <v>21.663888888888888</v>
      </c>
      <c r="Q115" s="13" t="s">
        <v>1413</v>
      </c>
      <c r="R115" s="2" t="s">
        <v>958</v>
      </c>
      <c r="S115" s="11" t="str">
        <f>IF(ISNA(VLOOKUP(A115,Tbl_Exit_Formalities[Employee ID],1,FALSE)), "No", "Yes")</f>
        <v>No</v>
      </c>
      <c r="T115" s="22">
        <f ca="1">Tbl_Employee_Details[[#This Row],[Experience in SAREGAMA]]/((SUMIFS(Tbl_Employee_Details[Experience in SAREGAMA],Tbl_Employee_Details[Department],Tbl_Employee_Details[[#This Row],[Department]])))</f>
        <v>2.5897721398178711E-2</v>
      </c>
    </row>
    <row r="116" spans="1:20" x14ac:dyDescent="0.3">
      <c r="A116" s="2">
        <v>105325</v>
      </c>
      <c r="B116" t="s">
        <v>367</v>
      </c>
      <c r="C116" t="s">
        <v>368</v>
      </c>
      <c r="D116" t="s">
        <v>933</v>
      </c>
      <c r="E116" s="3" t="s">
        <v>1529</v>
      </c>
      <c r="F116" s="4" t="s">
        <v>1530</v>
      </c>
      <c r="G116" t="s">
        <v>2484</v>
      </c>
      <c r="H116" t="s">
        <v>1531</v>
      </c>
      <c r="I116" s="12" t="s">
        <v>1532</v>
      </c>
      <c r="J116" s="12" t="s">
        <v>1533</v>
      </c>
      <c r="K116" t="s">
        <v>947</v>
      </c>
      <c r="L116" t="str">
        <f>_xlfn.CONCAT(Tbl_Employee_Details[[#This Row],[First Name]],".",Tbl_Employee_Details[[#This Row],[Last Name]],"@saregama.com")</f>
        <v>Bentley.Lidgerton@saregama.com</v>
      </c>
      <c r="M116" s="6">
        <f ca="1">(TODAY() - 'Employee Onboarding'!E116)/365.25</f>
        <v>7.6522929500342229</v>
      </c>
      <c r="N116">
        <v>309574</v>
      </c>
      <c r="O116" s="13" t="s">
        <v>35</v>
      </c>
      <c r="P116" s="6">
        <f ca="1">YEARFRAC(Tbl_Employee_Details[[#This Row],[Date of Birth]],TODAY())</f>
        <v>38.097222222222221</v>
      </c>
      <c r="Q116" s="13" t="s">
        <v>1413</v>
      </c>
      <c r="R116" s="2" t="s">
        <v>949</v>
      </c>
      <c r="S116" s="11" t="str">
        <f>IF(ISNA(VLOOKUP(A116,Tbl_Exit_Formalities[Employee ID],1,FALSE)), "No", "Yes")</f>
        <v>No</v>
      </c>
      <c r="T116" s="22">
        <f ca="1">Tbl_Employee_Details[[#This Row],[Experience in SAREGAMA]]/((SUMIFS(Tbl_Employee_Details[Experience in SAREGAMA],Tbl_Employee_Details[Department],Tbl_Employee_Details[[#This Row],[Department]])))</f>
        <v>2.7786614705531478E-2</v>
      </c>
    </row>
    <row r="117" spans="1:20" x14ac:dyDescent="0.3">
      <c r="A117" s="2">
        <v>104038</v>
      </c>
      <c r="B117" t="s">
        <v>370</v>
      </c>
      <c r="C117" t="s">
        <v>371</v>
      </c>
      <c r="D117" t="s">
        <v>933</v>
      </c>
      <c r="E117" s="3" t="s">
        <v>1534</v>
      </c>
      <c r="F117" s="4" t="s">
        <v>1535</v>
      </c>
      <c r="G117" t="s">
        <v>2530</v>
      </c>
      <c r="H117" t="s">
        <v>1536</v>
      </c>
      <c r="I117" s="12" t="s">
        <v>1537</v>
      </c>
      <c r="J117" s="12" t="s">
        <v>1538</v>
      </c>
      <c r="K117" t="s">
        <v>956</v>
      </c>
      <c r="L117" t="str">
        <f>_xlfn.CONCAT(Tbl_Employee_Details[[#This Row],[First Name]],".",Tbl_Employee_Details[[#This Row],[Last Name]],"@saregama.com")</f>
        <v>Jeromy.Scattergood@saregama.com</v>
      </c>
      <c r="M117" s="6">
        <f ca="1">(TODAY() - 'Employee Onboarding'!E117)/365.25</f>
        <v>34.324435318275157</v>
      </c>
      <c r="N117">
        <v>169665</v>
      </c>
      <c r="O117" s="13" t="s">
        <v>13</v>
      </c>
      <c r="P117" s="6">
        <f ca="1">YEARFRAC(Tbl_Employee_Details[[#This Row],[Date of Birth]],TODAY())</f>
        <v>44.280555555555559</v>
      </c>
      <c r="Q117" s="13" t="s">
        <v>1413</v>
      </c>
      <c r="R117" s="2" t="s">
        <v>1019</v>
      </c>
      <c r="S117" s="11" t="str">
        <f>IF(ISNA(VLOOKUP(A117,Tbl_Exit_Formalities[Employee ID],1,FALSE)), "No", "Yes")</f>
        <v>No</v>
      </c>
      <c r="T117" s="22">
        <f ca="1">Tbl_Employee_Details[[#This Row],[Experience in SAREGAMA]]/((SUMIFS(Tbl_Employee_Details[Experience in SAREGAMA],Tbl_Employee_Details[Department],Tbl_Employee_Details[[#This Row],[Department]])))</f>
        <v>0.12463713365411383</v>
      </c>
    </row>
    <row r="118" spans="1:20" x14ac:dyDescent="0.3">
      <c r="A118" s="2">
        <v>105966</v>
      </c>
      <c r="B118" t="s">
        <v>373</v>
      </c>
      <c r="C118" t="s">
        <v>374</v>
      </c>
      <c r="D118" t="s">
        <v>933</v>
      </c>
      <c r="E118" s="3" t="s">
        <v>1539</v>
      </c>
      <c r="F118" s="4" t="s">
        <v>1540</v>
      </c>
      <c r="G118" t="s">
        <v>2532</v>
      </c>
      <c r="H118" t="s">
        <v>1541</v>
      </c>
      <c r="I118" s="12" t="s">
        <v>1542</v>
      </c>
      <c r="J118" s="12" t="s">
        <v>1543</v>
      </c>
      <c r="K118" t="s">
        <v>947</v>
      </c>
      <c r="L118" t="str">
        <f>_xlfn.CONCAT(Tbl_Employee_Details[[#This Row],[First Name]],".",Tbl_Employee_Details[[#This Row],[Last Name]],"@saregama.com")</f>
        <v>Alaster.Pieche@saregama.com</v>
      </c>
      <c r="M118" s="6">
        <f ca="1">(TODAY() - 'Employee Onboarding'!E118)/365.25</f>
        <v>9.7850787132101296</v>
      </c>
      <c r="N118">
        <v>399330</v>
      </c>
      <c r="O118" s="13" t="s">
        <v>22</v>
      </c>
      <c r="P118" s="6">
        <f ca="1">YEARFRAC(Tbl_Employee_Details[[#This Row],[Date of Birth]],TODAY())</f>
        <v>30.391666666666666</v>
      </c>
      <c r="Q118" s="13" t="s">
        <v>1413</v>
      </c>
      <c r="R118" s="2" t="s">
        <v>941</v>
      </c>
      <c r="S118" s="11" t="str">
        <f>IF(ISNA(VLOOKUP(A118,Tbl_Exit_Formalities[Employee ID],1,FALSE)), "No", "Yes")</f>
        <v>No</v>
      </c>
      <c r="T118" s="22">
        <f ca="1">Tbl_Employee_Details[[#This Row],[Experience in SAREGAMA]]/((SUMIFS(Tbl_Employee_Details[Experience in SAREGAMA],Tbl_Employee_Details[Department],Tbl_Employee_Details[[#This Row],[Department]])))</f>
        <v>3.5531077265677814E-2</v>
      </c>
    </row>
    <row r="119" spans="1:20" x14ac:dyDescent="0.3">
      <c r="A119" s="2">
        <v>104711</v>
      </c>
      <c r="B119" t="s">
        <v>376</v>
      </c>
      <c r="C119" t="s">
        <v>377</v>
      </c>
      <c r="D119" t="s">
        <v>950</v>
      </c>
      <c r="E119" s="3" t="s">
        <v>1544</v>
      </c>
      <c r="F119" s="4" t="s">
        <v>1545</v>
      </c>
      <c r="G119" t="s">
        <v>2503</v>
      </c>
      <c r="H119" t="s">
        <v>1546</v>
      </c>
      <c r="I119" s="12" t="s">
        <v>1547</v>
      </c>
      <c r="J119" s="12" t="s">
        <v>1548</v>
      </c>
      <c r="K119" t="s">
        <v>983</v>
      </c>
      <c r="L119" t="str">
        <f>_xlfn.CONCAT(Tbl_Employee_Details[[#This Row],[First Name]],".",Tbl_Employee_Details[[#This Row],[Last Name]],"@saregama.com")</f>
        <v>Seka.Braemer@saregama.com</v>
      </c>
      <c r="M119" s="6">
        <f ca="1">(TODAY() - 'Employee Onboarding'!E119)/365.25</f>
        <v>8.3449691991786441</v>
      </c>
      <c r="N119">
        <v>190991</v>
      </c>
      <c r="O119" s="13" t="s">
        <v>46</v>
      </c>
      <c r="P119" s="6">
        <f ca="1">YEARFRAC(Tbl_Employee_Details[[#This Row],[Date of Birth]],TODAY())</f>
        <v>18.119444444444444</v>
      </c>
      <c r="Q119" s="13" t="s">
        <v>1413</v>
      </c>
      <c r="R119" s="2" t="s">
        <v>1002</v>
      </c>
      <c r="S119" s="11" t="str">
        <f>IF(ISNA(VLOOKUP(A119,Tbl_Exit_Formalities[Employee ID],1,FALSE)), "No", "Yes")</f>
        <v>No</v>
      </c>
      <c r="T119" s="22">
        <f ca="1">Tbl_Employee_Details[[#This Row],[Experience in SAREGAMA]]/((SUMIFS(Tbl_Employee_Details[Experience in SAREGAMA],Tbl_Employee_Details[Department],Tbl_Employee_Details[[#This Row],[Department]])))</f>
        <v>3.0301825267427529E-2</v>
      </c>
    </row>
    <row r="120" spans="1:20" x14ac:dyDescent="0.3">
      <c r="A120" s="2">
        <v>106798</v>
      </c>
      <c r="B120" t="s">
        <v>379</v>
      </c>
      <c r="C120" t="s">
        <v>380</v>
      </c>
      <c r="D120" t="s">
        <v>950</v>
      </c>
      <c r="E120" s="3" t="s">
        <v>1549</v>
      </c>
      <c r="F120" s="4" t="s">
        <v>1550</v>
      </c>
      <c r="G120" t="s">
        <v>2535</v>
      </c>
      <c r="H120" t="s">
        <v>1551</v>
      </c>
      <c r="I120" s="12" t="s">
        <v>1552</v>
      </c>
      <c r="J120" s="12" t="s">
        <v>1553</v>
      </c>
      <c r="K120" t="s">
        <v>939</v>
      </c>
      <c r="L120" t="str">
        <f>_xlfn.CONCAT(Tbl_Employee_Details[[#This Row],[First Name]],".",Tbl_Employee_Details[[#This Row],[Last Name]],"@saregama.com")</f>
        <v>Minnie.Blaxlande@saregama.com</v>
      </c>
      <c r="M120" s="6">
        <f ca="1">(TODAY() - 'Employee Onboarding'!E120)/365.25</f>
        <v>9.0595482546201236</v>
      </c>
      <c r="N120">
        <v>87685</v>
      </c>
      <c r="O120" s="13" t="s">
        <v>13</v>
      </c>
      <c r="P120" s="6">
        <f ca="1">YEARFRAC(Tbl_Employee_Details[[#This Row],[Date of Birth]],TODAY())</f>
        <v>30.830555555555556</v>
      </c>
      <c r="Q120" s="13" t="s">
        <v>1413</v>
      </c>
      <c r="R120" s="2" t="s">
        <v>958</v>
      </c>
      <c r="S120" s="11" t="str">
        <f>IF(ISNA(VLOOKUP(A120,Tbl_Exit_Formalities[Employee ID],1,FALSE)), "No", "Yes")</f>
        <v>No</v>
      </c>
      <c r="T120" s="22">
        <f ca="1">Tbl_Employee_Details[[#This Row],[Experience in SAREGAMA]]/((SUMIFS(Tbl_Employee_Details[Experience in SAREGAMA],Tbl_Employee_Details[Department],Tbl_Employee_Details[[#This Row],[Department]])))</f>
        <v>3.2896568179106855E-2</v>
      </c>
    </row>
    <row r="121" spans="1:20" x14ac:dyDescent="0.3">
      <c r="A121" s="2">
        <v>104534</v>
      </c>
      <c r="B121" t="s">
        <v>382</v>
      </c>
      <c r="C121" t="s">
        <v>383</v>
      </c>
      <c r="D121" t="s">
        <v>933</v>
      </c>
      <c r="E121" s="3" t="s">
        <v>1554</v>
      </c>
      <c r="F121" s="4" t="s">
        <v>1555</v>
      </c>
      <c r="G121" t="s">
        <v>2486</v>
      </c>
      <c r="H121" t="s">
        <v>1556</v>
      </c>
      <c r="I121" s="12" t="s">
        <v>1557</v>
      </c>
      <c r="J121" s="12" t="s">
        <v>1558</v>
      </c>
      <c r="K121" t="s">
        <v>983</v>
      </c>
      <c r="L121" t="str">
        <f>_xlfn.CONCAT(Tbl_Employee_Details[[#This Row],[First Name]],".",Tbl_Employee_Details[[#This Row],[Last Name]],"@saregama.com")</f>
        <v>Maurie.Seignior@saregama.com</v>
      </c>
      <c r="M121" s="6">
        <f ca="1">(TODAY() - 'Employee Onboarding'!E121)/365.25</f>
        <v>22.986995208761122</v>
      </c>
      <c r="N121">
        <v>551911</v>
      </c>
      <c r="O121" s="13" t="s">
        <v>63</v>
      </c>
      <c r="P121" s="6">
        <f ca="1">YEARFRAC(Tbl_Employee_Details[[#This Row],[Date of Birth]],TODAY())</f>
        <v>30.274999999999999</v>
      </c>
      <c r="Q121" s="13" t="s">
        <v>1559</v>
      </c>
      <c r="R121" s="2" t="s">
        <v>1019</v>
      </c>
      <c r="S121" s="11" t="str">
        <f>IF(ISNA(VLOOKUP(A121,Tbl_Exit_Formalities[Employee ID],1,FALSE)), "No", "Yes")</f>
        <v>No</v>
      </c>
      <c r="T121" s="22">
        <f ca="1">Tbl_Employee_Details[[#This Row],[Experience in SAREGAMA]]/((SUMIFS(Tbl_Employee_Details[Experience in SAREGAMA],Tbl_Employee_Details[Department],Tbl_Employee_Details[[#This Row],[Department]])))</f>
        <v>4.8523097017297491E-2</v>
      </c>
    </row>
    <row r="122" spans="1:20" x14ac:dyDescent="0.3">
      <c r="A122" s="2">
        <v>103893</v>
      </c>
      <c r="B122" t="s">
        <v>385</v>
      </c>
      <c r="C122" t="s">
        <v>386</v>
      </c>
      <c r="D122" t="s">
        <v>933</v>
      </c>
      <c r="E122" s="3" t="s">
        <v>1560</v>
      </c>
      <c r="F122" s="4" t="s">
        <v>1561</v>
      </c>
      <c r="G122" t="s">
        <v>2488</v>
      </c>
      <c r="H122" t="s">
        <v>1562</v>
      </c>
      <c r="I122" s="12" t="s">
        <v>1563</v>
      </c>
      <c r="J122" s="12" t="s">
        <v>1564</v>
      </c>
      <c r="K122" t="s">
        <v>956</v>
      </c>
      <c r="L122" t="str">
        <f>_xlfn.CONCAT(Tbl_Employee_Details[[#This Row],[First Name]],".",Tbl_Employee_Details[[#This Row],[Last Name]],"@saregama.com")</f>
        <v>Meredith.Sember@saregama.com</v>
      </c>
      <c r="M122" s="6">
        <f ca="1">(TODAY() - 'Employee Onboarding'!E122)/365.25</f>
        <v>12.427104722792608</v>
      </c>
      <c r="N122">
        <v>482861</v>
      </c>
      <c r="O122" s="13" t="s">
        <v>85</v>
      </c>
      <c r="P122" s="6">
        <f ca="1">YEARFRAC(Tbl_Employee_Details[[#This Row],[Date of Birth]],TODAY())</f>
        <v>19.172222222222221</v>
      </c>
      <c r="Q122" s="13" t="s">
        <v>1559</v>
      </c>
      <c r="R122" s="2" t="s">
        <v>1019</v>
      </c>
      <c r="S122" s="11" t="str">
        <f>IF(ISNA(VLOOKUP(A122,Tbl_Exit_Formalities[Employee ID],1,FALSE)), "No", "Yes")</f>
        <v>Yes</v>
      </c>
      <c r="T122" s="22">
        <f ca="1">Tbl_Employee_Details[[#This Row],[Experience in SAREGAMA]]/((SUMIFS(Tbl_Employee_Details[Experience in SAREGAMA],Tbl_Employee_Details[Department],Tbl_Employee_Details[[#This Row],[Department]])))</f>
        <v>2.6232293635244559E-2</v>
      </c>
    </row>
    <row r="123" spans="1:20" x14ac:dyDescent="0.3">
      <c r="A123" s="2">
        <v>107875</v>
      </c>
      <c r="B123" t="s">
        <v>388</v>
      </c>
      <c r="C123" t="s">
        <v>389</v>
      </c>
      <c r="D123" t="s">
        <v>950</v>
      </c>
      <c r="E123" s="3" t="s">
        <v>1565</v>
      </c>
      <c r="F123" s="4" t="s">
        <v>1566</v>
      </c>
      <c r="G123" t="s">
        <v>2536</v>
      </c>
      <c r="H123" t="s">
        <v>1567</v>
      </c>
      <c r="I123" s="12" t="s">
        <v>1568</v>
      </c>
      <c r="J123" s="12" t="s">
        <v>1569</v>
      </c>
      <c r="K123" t="s">
        <v>989</v>
      </c>
      <c r="L123" t="str">
        <f>_xlfn.CONCAT(Tbl_Employee_Details[[#This Row],[First Name]],".",Tbl_Employee_Details[[#This Row],[Last Name]],"@saregama.com")</f>
        <v>Pet.Sisnett@saregama.com</v>
      </c>
      <c r="M123" s="6">
        <f ca="1">(TODAY() - 'Employee Onboarding'!E123)/365.25</f>
        <v>30.521560574948666</v>
      </c>
      <c r="N123">
        <v>158610</v>
      </c>
      <c r="O123" s="13" t="s">
        <v>13</v>
      </c>
      <c r="P123" s="6">
        <f ca="1">YEARFRAC(Tbl_Employee_Details[[#This Row],[Date of Birth]],TODAY())</f>
        <v>42.205555555555556</v>
      </c>
      <c r="Q123" s="13" t="s">
        <v>1559</v>
      </c>
      <c r="R123" s="2" t="s">
        <v>958</v>
      </c>
      <c r="S123" s="11" t="str">
        <f>IF(ISNA(VLOOKUP(A123,Tbl_Exit_Formalities[Employee ID],1,FALSE)), "No", "Yes")</f>
        <v>No</v>
      </c>
      <c r="T123" s="22">
        <f ca="1">Tbl_Employee_Details[[#This Row],[Experience in SAREGAMA]]/((SUMIFS(Tbl_Employee_Details[Experience in SAREGAMA],Tbl_Employee_Details[Department],Tbl_Employee_Details[[#This Row],[Department]])))</f>
        <v>6.442776149938452E-2</v>
      </c>
    </row>
    <row r="124" spans="1:20" x14ac:dyDescent="0.3">
      <c r="A124" s="2">
        <v>104704</v>
      </c>
      <c r="B124" t="s">
        <v>391</v>
      </c>
      <c r="C124" t="s">
        <v>392</v>
      </c>
      <c r="D124" t="s">
        <v>950</v>
      </c>
      <c r="E124" s="3" t="s">
        <v>1570</v>
      </c>
      <c r="F124" s="4" t="s">
        <v>1571</v>
      </c>
      <c r="G124" t="s">
        <v>2503</v>
      </c>
      <c r="H124" t="s">
        <v>1572</v>
      </c>
      <c r="I124" s="12" t="s">
        <v>1573</v>
      </c>
      <c r="J124" s="12" t="s">
        <v>1574</v>
      </c>
      <c r="K124" t="s">
        <v>947</v>
      </c>
      <c r="L124" t="str">
        <f>_xlfn.CONCAT(Tbl_Employee_Details[[#This Row],[First Name]],".",Tbl_Employee_Details[[#This Row],[Last Name]],"@saregama.com")</f>
        <v>Lorrie.Belchem@saregama.com</v>
      </c>
      <c r="M124" s="6">
        <f ca="1">(TODAY() - 'Employee Onboarding'!E124)/365.25</f>
        <v>34.321697467488022</v>
      </c>
      <c r="N124">
        <v>423621</v>
      </c>
      <c r="O124" s="13" t="s">
        <v>85</v>
      </c>
      <c r="P124" s="6">
        <f ca="1">YEARFRAC(Tbl_Employee_Details[[#This Row],[Date of Birth]],TODAY())</f>
        <v>38.927777777777777</v>
      </c>
      <c r="Q124" s="13" t="s">
        <v>1559</v>
      </c>
      <c r="R124" s="2" t="s">
        <v>1019</v>
      </c>
      <c r="S124" s="11" t="str">
        <f>IF(ISNA(VLOOKUP(A124,Tbl_Exit_Formalities[Employee ID],1,FALSE)), "No", "Yes")</f>
        <v>No</v>
      </c>
      <c r="T124" s="22">
        <f ca="1">Tbl_Employee_Details[[#This Row],[Experience in SAREGAMA]]/((SUMIFS(Tbl_Employee_Details[Experience in SAREGAMA],Tbl_Employee_Details[Department],Tbl_Employee_Details[[#This Row],[Department]])))</f>
        <v>7.2449445475088289E-2</v>
      </c>
    </row>
    <row r="125" spans="1:20" x14ac:dyDescent="0.3">
      <c r="A125" s="2">
        <v>102780</v>
      </c>
      <c r="B125" t="s">
        <v>394</v>
      </c>
      <c r="C125" t="s">
        <v>395</v>
      </c>
      <c r="D125" t="s">
        <v>933</v>
      </c>
      <c r="E125" s="3" t="s">
        <v>1575</v>
      </c>
      <c r="F125" s="4" t="s">
        <v>1576</v>
      </c>
      <c r="G125" t="s">
        <v>2509</v>
      </c>
      <c r="H125" t="s">
        <v>1577</v>
      </c>
      <c r="I125" s="12" t="s">
        <v>1578</v>
      </c>
      <c r="J125" s="12" t="s">
        <v>1579</v>
      </c>
      <c r="K125" t="s">
        <v>939</v>
      </c>
      <c r="L125" t="str">
        <f>_xlfn.CONCAT(Tbl_Employee_Details[[#This Row],[First Name]],".",Tbl_Employee_Details[[#This Row],[Last Name]],"@saregama.com")</f>
        <v>Nolly.Hardington@saregama.com</v>
      </c>
      <c r="M125" s="6">
        <f ca="1">(TODAY() - 'Employee Onboarding'!E125)/365.25</f>
        <v>2.4996577686516086</v>
      </c>
      <c r="N125">
        <v>338887</v>
      </c>
      <c r="O125" s="13" t="s">
        <v>35</v>
      </c>
      <c r="P125" s="6">
        <f ca="1">YEARFRAC(Tbl_Employee_Details[[#This Row],[Date of Birth]],TODAY())</f>
        <v>23.127777777777776</v>
      </c>
      <c r="Q125" s="13" t="s">
        <v>1559</v>
      </c>
      <c r="R125" s="2" t="s">
        <v>941</v>
      </c>
      <c r="S125" s="11" t="str">
        <f>IF(ISNA(VLOOKUP(A125,Tbl_Exit_Formalities[Employee ID],1,FALSE)), "No", "Yes")</f>
        <v>No</v>
      </c>
      <c r="T125" s="22">
        <f ca="1">Tbl_Employee_Details[[#This Row],[Experience in SAREGAMA]]/((SUMIFS(Tbl_Employee_Details[Experience in SAREGAMA],Tbl_Employee_Details[Department],Tbl_Employee_Details[[#This Row],[Department]])))</f>
        <v>5.2765111454016926E-3</v>
      </c>
    </row>
    <row r="126" spans="1:20" x14ac:dyDescent="0.3">
      <c r="A126" s="2">
        <v>102840</v>
      </c>
      <c r="B126" t="s">
        <v>397</v>
      </c>
      <c r="C126" t="s">
        <v>398</v>
      </c>
      <c r="D126" t="s">
        <v>950</v>
      </c>
      <c r="E126" s="3" t="s">
        <v>1580</v>
      </c>
      <c r="F126" s="4" t="s">
        <v>1581</v>
      </c>
      <c r="G126" t="s">
        <v>2514</v>
      </c>
      <c r="H126" t="s">
        <v>1582</v>
      </c>
      <c r="I126" s="12" t="s">
        <v>1583</v>
      </c>
      <c r="J126" s="12" t="s">
        <v>1584</v>
      </c>
      <c r="K126" t="s">
        <v>983</v>
      </c>
      <c r="L126" t="str">
        <f>_xlfn.CONCAT(Tbl_Employee_Details[[#This Row],[First Name]],".",Tbl_Employee_Details[[#This Row],[Last Name]],"@saregama.com")</f>
        <v>Claresta.O'Heyne@saregama.com</v>
      </c>
      <c r="M126" s="6">
        <f ca="1">(TODAY() - 'Employee Onboarding'!E126)/365.25</f>
        <v>11.082819986310746</v>
      </c>
      <c r="N126">
        <v>348975</v>
      </c>
      <c r="O126" s="13" t="s">
        <v>35</v>
      </c>
      <c r="P126" s="6">
        <f ca="1">YEARFRAC(Tbl_Employee_Details[[#This Row],[Date of Birth]],TODAY())</f>
        <v>39.825000000000003</v>
      </c>
      <c r="Q126" s="13" t="s">
        <v>1559</v>
      </c>
      <c r="R126" s="2" t="s">
        <v>958</v>
      </c>
      <c r="S126" s="11" t="str">
        <f>IF(ISNA(VLOOKUP(A126,Tbl_Exit_Formalities[Employee ID],1,FALSE)), "No", "Yes")</f>
        <v>No</v>
      </c>
      <c r="T126" s="22">
        <f ca="1">Tbl_Employee_Details[[#This Row],[Experience in SAREGAMA]]/((SUMIFS(Tbl_Employee_Details[Experience in SAREGAMA],Tbl_Employee_Details[Department],Tbl_Employee_Details[[#This Row],[Department]])))</f>
        <v>2.3394651825395452E-2</v>
      </c>
    </row>
    <row r="127" spans="1:20" x14ac:dyDescent="0.3">
      <c r="A127" s="2">
        <v>104010</v>
      </c>
      <c r="B127" t="s">
        <v>400</v>
      </c>
      <c r="C127" t="s">
        <v>401</v>
      </c>
      <c r="D127" t="s">
        <v>933</v>
      </c>
      <c r="E127" s="3" t="s">
        <v>1585</v>
      </c>
      <c r="F127" s="4" t="s">
        <v>1586</v>
      </c>
      <c r="G127" t="s">
        <v>2499</v>
      </c>
      <c r="H127" t="s">
        <v>1587</v>
      </c>
      <c r="I127" s="12" t="s">
        <v>1588</v>
      </c>
      <c r="J127" s="12" t="s">
        <v>1589</v>
      </c>
      <c r="K127" t="s">
        <v>989</v>
      </c>
      <c r="L127" t="str">
        <f>_xlfn.CONCAT(Tbl_Employee_Details[[#This Row],[First Name]],".",Tbl_Employee_Details[[#This Row],[Last Name]],"@saregama.com")</f>
        <v>Lorne.MacFadin@saregama.com</v>
      </c>
      <c r="M127" s="6">
        <f ca="1">(TODAY() - 'Employee Onboarding'!E127)/365.25</f>
        <v>29.486652977412732</v>
      </c>
      <c r="N127">
        <v>86965</v>
      </c>
      <c r="O127" s="13" t="s">
        <v>46</v>
      </c>
      <c r="P127" s="6">
        <f ca="1">YEARFRAC(Tbl_Employee_Details[[#This Row],[Date of Birth]],TODAY())</f>
        <v>39.549999999999997</v>
      </c>
      <c r="Q127" s="13" t="s">
        <v>1559</v>
      </c>
      <c r="R127" s="2" t="s">
        <v>941</v>
      </c>
      <c r="S127" s="11" t="str">
        <f>IF(ISNA(VLOOKUP(A127,Tbl_Exit_Formalities[Employee ID],1,FALSE)), "No", "Yes")</f>
        <v>No</v>
      </c>
      <c r="T127" s="22">
        <f ca="1">Tbl_Employee_Details[[#This Row],[Experience in SAREGAMA]]/((SUMIFS(Tbl_Employee_Details[Experience in SAREGAMA],Tbl_Employee_Details[Department],Tbl_Employee_Details[[#This Row],[Department]])))</f>
        <v>6.2243181857586226E-2</v>
      </c>
    </row>
    <row r="128" spans="1:20" x14ac:dyDescent="0.3">
      <c r="A128" s="2">
        <v>105783</v>
      </c>
      <c r="B128" t="s">
        <v>403</v>
      </c>
      <c r="C128" t="s">
        <v>404</v>
      </c>
      <c r="D128" t="s">
        <v>950</v>
      </c>
      <c r="E128" s="3" t="s">
        <v>1590</v>
      </c>
      <c r="F128" s="4" t="s">
        <v>1591</v>
      </c>
      <c r="G128" t="s">
        <v>2537</v>
      </c>
      <c r="H128" t="s">
        <v>1592</v>
      </c>
      <c r="I128" s="12" t="s">
        <v>1593</v>
      </c>
      <c r="J128" s="12" t="s">
        <v>1594</v>
      </c>
      <c r="K128" t="s">
        <v>947</v>
      </c>
      <c r="L128" t="str">
        <f>_xlfn.CONCAT(Tbl_Employee_Details[[#This Row],[First Name]],".",Tbl_Employee_Details[[#This Row],[Last Name]],"@saregama.com")</f>
        <v>Mozelle.Balcombe@saregama.com</v>
      </c>
      <c r="M128" s="6">
        <f ca="1">(TODAY() - 'Employee Onboarding'!E128)/365.25</f>
        <v>8.254620123203285</v>
      </c>
      <c r="N128">
        <v>406969</v>
      </c>
      <c r="O128" s="13" t="s">
        <v>22</v>
      </c>
      <c r="P128" s="6">
        <f ca="1">YEARFRAC(Tbl_Employee_Details[[#This Row],[Date of Birth]],TODAY())</f>
        <v>23.877777777777776</v>
      </c>
      <c r="Q128" s="13" t="s">
        <v>1559</v>
      </c>
      <c r="R128" s="2" t="s">
        <v>1002</v>
      </c>
      <c r="S128" s="11" t="str">
        <f>IF(ISNA(VLOOKUP(A128,Tbl_Exit_Formalities[Employee ID],1,FALSE)), "No", "Yes")</f>
        <v>Yes</v>
      </c>
      <c r="T128" s="22">
        <f ca="1">Tbl_Employee_Details[[#This Row],[Experience in SAREGAMA]]/((SUMIFS(Tbl_Employee_Details[Experience in SAREGAMA],Tbl_Employee_Details[Department],Tbl_Employee_Details[[#This Row],[Department]])))</f>
        <v>1.7424623333391131E-2</v>
      </c>
    </row>
    <row r="129" spans="1:20" x14ac:dyDescent="0.3">
      <c r="A129" s="2">
        <v>104134</v>
      </c>
      <c r="B129" t="s">
        <v>406</v>
      </c>
      <c r="C129" t="s">
        <v>407</v>
      </c>
      <c r="D129" t="s">
        <v>950</v>
      </c>
      <c r="E129" s="3" t="s">
        <v>1595</v>
      </c>
      <c r="F129" s="4" t="s">
        <v>1596</v>
      </c>
      <c r="G129" t="s">
        <v>2488</v>
      </c>
      <c r="H129" t="s">
        <v>1597</v>
      </c>
      <c r="I129" s="12" t="s">
        <v>1598</v>
      </c>
      <c r="J129" s="12" t="s">
        <v>1599</v>
      </c>
      <c r="K129" t="s">
        <v>956</v>
      </c>
      <c r="L129" t="str">
        <f>_xlfn.CONCAT(Tbl_Employee_Details[[#This Row],[First Name]],".",Tbl_Employee_Details[[#This Row],[Last Name]],"@saregama.com")</f>
        <v>Horatia.Sandifer@saregama.com</v>
      </c>
      <c r="M129" s="6">
        <f ca="1">(TODAY() - 'Employee Onboarding'!E129)/365.25</f>
        <v>6.362765229295003</v>
      </c>
      <c r="N129">
        <v>981350</v>
      </c>
      <c r="O129" s="13" t="s">
        <v>51</v>
      </c>
      <c r="P129" s="6">
        <f ca="1">YEARFRAC(Tbl_Employee_Details[[#This Row],[Date of Birth]],TODAY())</f>
        <v>40.480555555555554</v>
      </c>
      <c r="Q129" s="13" t="s">
        <v>940</v>
      </c>
      <c r="R129" s="2" t="s">
        <v>1019</v>
      </c>
      <c r="S129" s="11" t="str">
        <f>IF(ISNA(VLOOKUP(A129,Tbl_Exit_Formalities[Employee ID],1,FALSE)), "No", "Yes")</f>
        <v>No</v>
      </c>
      <c r="T129" s="22">
        <f ca="1">Tbl_Employee_Details[[#This Row],[Experience in SAREGAMA]]/((SUMIFS(Tbl_Employee_Details[Experience in SAREGAMA],Tbl_Employee_Details[Department],Tbl_Employee_Details[[#This Row],[Department]])))</f>
        <v>2.0530579432317106E-2</v>
      </c>
    </row>
    <row r="130" spans="1:20" x14ac:dyDescent="0.3">
      <c r="A130" s="2">
        <v>107291</v>
      </c>
      <c r="B130" t="s">
        <v>409</v>
      </c>
      <c r="C130" t="s">
        <v>410</v>
      </c>
      <c r="D130" t="s">
        <v>933</v>
      </c>
      <c r="E130" s="3" t="s">
        <v>1600</v>
      </c>
      <c r="F130" s="4" t="s">
        <v>1601</v>
      </c>
      <c r="G130" t="s">
        <v>2524</v>
      </c>
      <c r="H130" t="s">
        <v>1602</v>
      </c>
      <c r="I130" s="12" t="s">
        <v>1603</v>
      </c>
      <c r="J130" s="12" t="s">
        <v>1604</v>
      </c>
      <c r="K130" t="s">
        <v>989</v>
      </c>
      <c r="L130" t="str">
        <f>_xlfn.CONCAT(Tbl_Employee_Details[[#This Row],[First Name]],".",Tbl_Employee_Details[[#This Row],[Last Name]],"@saregama.com")</f>
        <v>Adolpho.Roseveare@saregama.com</v>
      </c>
      <c r="M130" s="6">
        <f ca="1">(TODAY() - 'Employee Onboarding'!E130)/365.25</f>
        <v>17.932922655715263</v>
      </c>
      <c r="N130">
        <v>192240</v>
      </c>
      <c r="O130" s="13" t="s">
        <v>46</v>
      </c>
      <c r="P130" s="6">
        <f ca="1">YEARFRAC(Tbl_Employee_Details[[#This Row],[Date of Birth]],TODAY())</f>
        <v>27.172222222222221</v>
      </c>
      <c r="Q130" s="13" t="s">
        <v>1559</v>
      </c>
      <c r="R130" s="2" t="s">
        <v>958</v>
      </c>
      <c r="S130" s="11" t="str">
        <f>IF(ISNA(VLOOKUP(A130,Tbl_Exit_Formalities[Employee ID],1,FALSE)), "No", "Yes")</f>
        <v>No</v>
      </c>
      <c r="T130" s="22">
        <f ca="1">Tbl_Employee_Details[[#This Row],[Experience in SAREGAMA]]/((SUMIFS(Tbl_Employee_Details[Experience in SAREGAMA],Tbl_Employee_Details[Department],Tbl_Employee_Details[[#This Row],[Department]])))</f>
        <v>3.7854488502060329E-2</v>
      </c>
    </row>
    <row r="131" spans="1:20" x14ac:dyDescent="0.3">
      <c r="A131" s="2">
        <v>107232</v>
      </c>
      <c r="B131" t="s">
        <v>412</v>
      </c>
      <c r="C131" t="s">
        <v>413</v>
      </c>
      <c r="D131" t="s">
        <v>933</v>
      </c>
      <c r="E131" s="3" t="s">
        <v>1605</v>
      </c>
      <c r="F131" s="4" t="s">
        <v>1606</v>
      </c>
      <c r="G131" t="s">
        <v>2563</v>
      </c>
      <c r="H131" t="s">
        <v>1607</v>
      </c>
      <c r="I131" s="12" t="s">
        <v>1608</v>
      </c>
      <c r="J131" s="12" t="s">
        <v>1609</v>
      </c>
      <c r="K131" t="s">
        <v>989</v>
      </c>
      <c r="L131" t="str">
        <f>_xlfn.CONCAT(Tbl_Employee_Details[[#This Row],[First Name]],".",Tbl_Employee_Details[[#This Row],[Last Name]],"@saregama.com")</f>
        <v>Hussein.Castro@saregama.com</v>
      </c>
      <c r="M131" s="6">
        <f ca="1">(TODAY() - 'Employee Onboarding'!E131)/365.25</f>
        <v>32.394250513347025</v>
      </c>
      <c r="N131">
        <v>195511</v>
      </c>
      <c r="O131" s="13" t="s">
        <v>13</v>
      </c>
      <c r="P131" s="6">
        <f ca="1">YEARFRAC(Tbl_Employee_Details[[#This Row],[Date of Birth]],TODAY())</f>
        <v>43.44166666666667</v>
      </c>
      <c r="Q131" s="13" t="s">
        <v>1559</v>
      </c>
      <c r="R131" s="2" t="s">
        <v>1019</v>
      </c>
      <c r="S131" s="11" t="str">
        <f>IF(ISNA(VLOOKUP(A131,Tbl_Exit_Formalities[Employee ID],1,FALSE)), "No", "Yes")</f>
        <v>No</v>
      </c>
      <c r="T131" s="22">
        <f ca="1">Tbl_Employee_Details[[#This Row],[Experience in SAREGAMA]]/((SUMIFS(Tbl_Employee_Details[Experience in SAREGAMA],Tbl_Employee_Details[Department],Tbl_Employee_Details[[#This Row],[Department]])))</f>
        <v>6.838081037501953E-2</v>
      </c>
    </row>
    <row r="132" spans="1:20" x14ac:dyDescent="0.3">
      <c r="A132" s="2">
        <v>104192</v>
      </c>
      <c r="B132" t="s">
        <v>403</v>
      </c>
      <c r="C132" t="s">
        <v>415</v>
      </c>
      <c r="D132" t="s">
        <v>950</v>
      </c>
      <c r="E132" s="3" t="s">
        <v>1610</v>
      </c>
      <c r="F132" s="4" t="s">
        <v>1611</v>
      </c>
      <c r="G132" t="s">
        <v>2490</v>
      </c>
      <c r="H132" t="s">
        <v>1612</v>
      </c>
      <c r="I132" s="12" t="s">
        <v>1613</v>
      </c>
      <c r="J132" s="12" t="s">
        <v>1614</v>
      </c>
      <c r="K132" t="s">
        <v>983</v>
      </c>
      <c r="L132" t="str">
        <f>_xlfn.CONCAT(Tbl_Employee_Details[[#This Row],[First Name]],".",Tbl_Employee_Details[[#This Row],[Last Name]],"@saregama.com")</f>
        <v>Mozelle.Goodlatt@saregama.com</v>
      </c>
      <c r="M132" s="6">
        <f ca="1">(TODAY() - 'Employee Onboarding'!E132)/365.25</f>
        <v>13.908281998631075</v>
      </c>
      <c r="N132">
        <v>169663</v>
      </c>
      <c r="O132" s="13" t="s">
        <v>13</v>
      </c>
      <c r="P132" s="6">
        <f ca="1">YEARFRAC(Tbl_Employee_Details[[#This Row],[Date of Birth]],TODAY())</f>
        <v>34.62777777777778</v>
      </c>
      <c r="Q132" s="13" t="s">
        <v>1559</v>
      </c>
      <c r="R132" s="2" t="s">
        <v>941</v>
      </c>
      <c r="S132" s="11" t="str">
        <f>IF(ISNA(VLOOKUP(A132,Tbl_Exit_Formalities[Employee ID],1,FALSE)), "No", "Yes")</f>
        <v>No</v>
      </c>
      <c r="T132" s="22">
        <f ca="1">Tbl_Employee_Details[[#This Row],[Experience in SAREGAMA]]/((SUMIFS(Tbl_Employee_Details[Experience in SAREGAMA],Tbl_Employee_Details[Department],Tbl_Employee_Details[[#This Row],[Department]])))</f>
        <v>2.9358901006178093E-2</v>
      </c>
    </row>
    <row r="133" spans="1:20" x14ac:dyDescent="0.3">
      <c r="A133" s="2">
        <v>106563</v>
      </c>
      <c r="B133" t="s">
        <v>417</v>
      </c>
      <c r="C133" t="s">
        <v>418</v>
      </c>
      <c r="D133" t="s">
        <v>950</v>
      </c>
      <c r="E133" s="3" t="s">
        <v>1615</v>
      </c>
      <c r="F133" s="4" t="s">
        <v>1616</v>
      </c>
      <c r="G133" t="s">
        <v>2521</v>
      </c>
      <c r="H133" t="s">
        <v>1617</v>
      </c>
      <c r="I133" s="12" t="s">
        <v>1618</v>
      </c>
      <c r="J133" s="12" t="s">
        <v>1619</v>
      </c>
      <c r="K133" t="s">
        <v>939</v>
      </c>
      <c r="L133" t="str">
        <f>_xlfn.CONCAT(Tbl_Employee_Details[[#This Row],[First Name]],".",Tbl_Employee_Details[[#This Row],[Last Name]],"@saregama.com")</f>
        <v>Norine.Abazi@saregama.com</v>
      </c>
      <c r="M133" s="6">
        <f ca="1">(TODAY() - 'Employee Onboarding'!E133)/365.25</f>
        <v>37.297741273100613</v>
      </c>
      <c r="N133">
        <v>512321</v>
      </c>
      <c r="O133" s="13" t="s">
        <v>129</v>
      </c>
      <c r="P133" s="6">
        <f ca="1">YEARFRAC(Tbl_Employee_Details[[#This Row],[Date of Birth]],TODAY())</f>
        <v>39.68333333333333</v>
      </c>
      <c r="Q133" s="13" t="s">
        <v>957</v>
      </c>
      <c r="R133" s="2" t="s">
        <v>949</v>
      </c>
      <c r="S133" s="11" t="str">
        <f>IF(ISNA(VLOOKUP(A133,Tbl_Exit_Formalities[Employee ID],1,FALSE)), "No", "Yes")</f>
        <v>No</v>
      </c>
      <c r="T133" s="22">
        <f ca="1">Tbl_Employee_Details[[#This Row],[Experience in SAREGAMA]]/((SUMIFS(Tbl_Employee_Details[Experience in SAREGAMA],Tbl_Employee_Details[Department],Tbl_Employee_Details[[#This Row],[Department]])))</f>
        <v>0.24807881414575517</v>
      </c>
    </row>
    <row r="134" spans="1:20" x14ac:dyDescent="0.3">
      <c r="A134" s="2">
        <v>103468</v>
      </c>
      <c r="B134" t="s">
        <v>420</v>
      </c>
      <c r="C134" t="s">
        <v>421</v>
      </c>
      <c r="D134" t="s">
        <v>950</v>
      </c>
      <c r="E134" s="3" t="s">
        <v>1620</v>
      </c>
      <c r="F134" s="4" t="s">
        <v>1621</v>
      </c>
      <c r="G134" t="s">
        <v>2493</v>
      </c>
      <c r="H134" t="s">
        <v>1622</v>
      </c>
      <c r="I134" s="12" t="s">
        <v>1623</v>
      </c>
      <c r="J134" s="12" t="s">
        <v>1624</v>
      </c>
      <c r="K134" t="s">
        <v>956</v>
      </c>
      <c r="L134" t="str">
        <f>_xlfn.CONCAT(Tbl_Employee_Details[[#This Row],[First Name]],".",Tbl_Employee_Details[[#This Row],[Last Name]],"@saregama.com")</f>
        <v>Nyssa.Dutnell@saregama.com</v>
      </c>
      <c r="M134" s="6">
        <f ca="1">(TODAY() - 'Employee Onboarding'!E134)/365.25</f>
        <v>1.7138945927446954</v>
      </c>
      <c r="N134">
        <v>321467</v>
      </c>
      <c r="O134" s="13" t="s">
        <v>35</v>
      </c>
      <c r="P134" s="6">
        <f ca="1">YEARFRAC(Tbl_Employee_Details[[#This Row],[Date of Birth]],TODAY())</f>
        <v>33.00277777777778</v>
      </c>
      <c r="Q134" s="13" t="s">
        <v>1559</v>
      </c>
      <c r="R134" s="2" t="s">
        <v>949</v>
      </c>
      <c r="S134" s="11" t="str">
        <f>IF(ISNA(VLOOKUP(A134,Tbl_Exit_Formalities[Employee ID],1,FALSE)), "No", "Yes")</f>
        <v>No</v>
      </c>
      <c r="T134" s="22">
        <f ca="1">Tbl_Employee_Details[[#This Row],[Experience in SAREGAMA]]/((SUMIFS(Tbl_Employee_Details[Experience in SAREGAMA],Tbl_Employee_Details[Department],Tbl_Employee_Details[[#This Row],[Department]])))</f>
        <v>3.6178488247770638E-3</v>
      </c>
    </row>
    <row r="135" spans="1:20" x14ac:dyDescent="0.3">
      <c r="A135" s="2">
        <v>107984</v>
      </c>
      <c r="B135" t="s">
        <v>423</v>
      </c>
      <c r="C135" t="s">
        <v>424</v>
      </c>
      <c r="D135" t="s">
        <v>933</v>
      </c>
      <c r="E135" s="3" t="s">
        <v>1625</v>
      </c>
      <c r="F135" s="4" t="s">
        <v>1626</v>
      </c>
      <c r="G135" t="s">
        <v>2523</v>
      </c>
      <c r="H135" t="s">
        <v>1627</v>
      </c>
      <c r="I135" s="12" t="s">
        <v>1628</v>
      </c>
      <c r="J135" s="12" t="s">
        <v>1629</v>
      </c>
      <c r="K135" t="s">
        <v>983</v>
      </c>
      <c r="L135" t="str">
        <f>_xlfn.CONCAT(Tbl_Employee_Details[[#This Row],[First Name]],".",Tbl_Employee_Details[[#This Row],[Last Name]],"@saregama.com")</f>
        <v>Peterus.Starbucke@saregama.com</v>
      </c>
      <c r="M135" s="6">
        <f ca="1">(TODAY() - 'Employee Onboarding'!E135)/365.25</f>
        <v>21.144421629021217</v>
      </c>
      <c r="N135">
        <v>663227</v>
      </c>
      <c r="O135" s="13" t="s">
        <v>63</v>
      </c>
      <c r="P135" s="6">
        <f ca="1">YEARFRAC(Tbl_Employee_Details[[#This Row],[Date of Birth]],TODAY())</f>
        <v>39.911111111111111</v>
      </c>
      <c r="Q135" s="13" t="s">
        <v>976</v>
      </c>
      <c r="R135" s="2" t="s">
        <v>977</v>
      </c>
      <c r="S135" s="11" t="str">
        <f>IF(ISNA(VLOOKUP(A135,Tbl_Exit_Formalities[Employee ID],1,FALSE)), "No", "Yes")</f>
        <v>Yes</v>
      </c>
      <c r="T135" s="22">
        <f ca="1">Tbl_Employee_Details[[#This Row],[Experience in SAREGAMA]]/((SUMIFS(Tbl_Employee_Details[Experience in SAREGAMA],Tbl_Employee_Details[Department],Tbl_Employee_Details[[#This Row],[Department]])))</f>
        <v>7.2214689793819245E-2</v>
      </c>
    </row>
    <row r="136" spans="1:20" x14ac:dyDescent="0.3">
      <c r="A136" s="2">
        <v>103531</v>
      </c>
      <c r="B136" t="s">
        <v>426</v>
      </c>
      <c r="C136" t="s">
        <v>427</v>
      </c>
      <c r="D136" t="s">
        <v>933</v>
      </c>
      <c r="E136" s="3" t="s">
        <v>1630</v>
      </c>
      <c r="F136" s="4" t="s">
        <v>1631</v>
      </c>
      <c r="G136" t="s">
        <v>2499</v>
      </c>
      <c r="H136" t="s">
        <v>1632</v>
      </c>
      <c r="I136" s="12" t="s">
        <v>1633</v>
      </c>
      <c r="J136" s="12" t="s">
        <v>1634</v>
      </c>
      <c r="K136" t="s">
        <v>989</v>
      </c>
      <c r="L136" t="str">
        <f>_xlfn.CONCAT(Tbl_Employee_Details[[#This Row],[First Name]],".",Tbl_Employee_Details[[#This Row],[Last Name]],"@saregama.com")</f>
        <v>Martyn.Rehorek@saregama.com</v>
      </c>
      <c r="M136" s="6">
        <f ca="1">(TODAY() - 'Employee Onboarding'!E136)/365.25</f>
        <v>31.09924709103354</v>
      </c>
      <c r="N136">
        <v>141797</v>
      </c>
      <c r="O136" s="13" t="s">
        <v>42</v>
      </c>
      <c r="P136" s="6">
        <f ca="1">YEARFRAC(Tbl_Employee_Details[[#This Row],[Date of Birth]],TODAY())</f>
        <v>36.12777777777778</v>
      </c>
      <c r="Q136" s="13" t="s">
        <v>1559</v>
      </c>
      <c r="R136" s="2" t="s">
        <v>1019</v>
      </c>
      <c r="S136" s="11" t="str">
        <f>IF(ISNA(VLOOKUP(A136,Tbl_Exit_Formalities[Employee ID],1,FALSE)), "No", "Yes")</f>
        <v>No</v>
      </c>
      <c r="T136" s="22">
        <f ca="1">Tbl_Employee_Details[[#This Row],[Experience in SAREGAMA]]/((SUMIFS(Tbl_Employee_Details[Experience in SAREGAMA],Tbl_Employee_Details[Department],Tbl_Employee_Details[[#This Row],[Department]])))</f>
        <v>6.5647196167160818E-2</v>
      </c>
    </row>
    <row r="137" spans="1:20" x14ac:dyDescent="0.3">
      <c r="A137" s="2">
        <v>107666</v>
      </c>
      <c r="B137" t="s">
        <v>429</v>
      </c>
      <c r="C137" t="s">
        <v>430</v>
      </c>
      <c r="D137" t="s">
        <v>933</v>
      </c>
      <c r="E137" s="3" t="s">
        <v>1635</v>
      </c>
      <c r="F137" s="4" t="s">
        <v>1636</v>
      </c>
      <c r="G137" t="s">
        <v>2538</v>
      </c>
      <c r="H137" t="s">
        <v>1637</v>
      </c>
      <c r="I137" s="12" t="s">
        <v>1638</v>
      </c>
      <c r="J137" s="12" t="s">
        <v>1639</v>
      </c>
      <c r="K137" t="s">
        <v>989</v>
      </c>
      <c r="L137" t="str">
        <f>_xlfn.CONCAT(Tbl_Employee_Details[[#This Row],[First Name]],".",Tbl_Employee_Details[[#This Row],[Last Name]],"@saregama.com")</f>
        <v>Emanuel.Franey@saregama.com</v>
      </c>
      <c r="M137" s="6">
        <f ca="1">(TODAY() - 'Employee Onboarding'!E137)/365.25</f>
        <v>27.586584531143053</v>
      </c>
      <c r="N137">
        <v>592004</v>
      </c>
      <c r="O137" s="13" t="s">
        <v>63</v>
      </c>
      <c r="P137" s="6">
        <f ca="1">YEARFRAC(Tbl_Employee_Details[[#This Row],[Date of Birth]],TODAY())</f>
        <v>43.536111111111111</v>
      </c>
      <c r="Q137" s="13" t="s">
        <v>990</v>
      </c>
      <c r="R137" s="2" t="s">
        <v>949</v>
      </c>
      <c r="S137" s="11" t="str">
        <f>IF(ISNA(VLOOKUP(A137,Tbl_Exit_Formalities[Employee ID],1,FALSE)), "No", "Yes")</f>
        <v>Yes</v>
      </c>
      <c r="T137" s="22">
        <f ca="1">Tbl_Employee_Details[[#This Row],[Experience in SAREGAMA]]/((SUMIFS(Tbl_Employee_Details[Experience in SAREGAMA],Tbl_Employee_Details[Department],Tbl_Employee_Details[[#This Row],[Department]])))</f>
        <v>2.0449499316049894E-2</v>
      </c>
    </row>
    <row r="138" spans="1:20" x14ac:dyDescent="0.3">
      <c r="A138" s="2">
        <v>103162</v>
      </c>
      <c r="B138" t="s">
        <v>432</v>
      </c>
      <c r="C138" t="s">
        <v>433</v>
      </c>
      <c r="D138" t="s">
        <v>933</v>
      </c>
      <c r="E138" s="3" t="s">
        <v>1640</v>
      </c>
      <c r="F138" s="4" t="s">
        <v>1641</v>
      </c>
      <c r="G138" t="s">
        <v>2521</v>
      </c>
      <c r="H138" t="s">
        <v>1642</v>
      </c>
      <c r="I138" s="12" t="s">
        <v>1643</v>
      </c>
      <c r="J138" s="12" t="s">
        <v>1644</v>
      </c>
      <c r="K138" t="s">
        <v>947</v>
      </c>
      <c r="L138" t="str">
        <f>_xlfn.CONCAT(Tbl_Employee_Details[[#This Row],[First Name]],".",Tbl_Employee_Details[[#This Row],[Last Name]],"@saregama.com")</f>
        <v>Guntar.Bolsover@saregama.com</v>
      </c>
      <c r="M138" s="6">
        <f ca="1">(TODAY() - 'Employee Onboarding'!E138)/365.25</f>
        <v>18.064339493497606</v>
      </c>
      <c r="N138">
        <v>271806</v>
      </c>
      <c r="O138" s="13" t="s">
        <v>35</v>
      </c>
      <c r="P138" s="6">
        <f ca="1">YEARFRAC(Tbl_Employee_Details[[#This Row],[Date of Birth]],TODAY())</f>
        <v>42.836111111111109</v>
      </c>
      <c r="Q138" s="13" t="s">
        <v>1559</v>
      </c>
      <c r="R138" s="2" t="s">
        <v>996</v>
      </c>
      <c r="S138" s="11" t="str">
        <f>IF(ISNA(VLOOKUP(A138,Tbl_Exit_Formalities[Employee ID],1,FALSE)), "No", "Yes")</f>
        <v>No</v>
      </c>
      <c r="T138" s="22">
        <f ca="1">Tbl_Employee_Details[[#This Row],[Experience in SAREGAMA]]/((SUMIFS(Tbl_Employee_Details[Experience in SAREGAMA],Tbl_Employee_Details[Department],Tbl_Employee_Details[[#This Row],[Department]])))</f>
        <v>3.8131895440701391E-2</v>
      </c>
    </row>
    <row r="139" spans="1:20" x14ac:dyDescent="0.3">
      <c r="A139" s="2">
        <v>107352</v>
      </c>
      <c r="B139" t="s">
        <v>435</v>
      </c>
      <c r="C139" t="s">
        <v>436</v>
      </c>
      <c r="D139" t="s">
        <v>950</v>
      </c>
      <c r="E139" s="3" t="s">
        <v>1645</v>
      </c>
      <c r="F139" s="4" t="s">
        <v>1646</v>
      </c>
      <c r="G139" t="s">
        <v>2498</v>
      </c>
      <c r="H139" t="s">
        <v>1647</v>
      </c>
      <c r="I139" s="12" t="s">
        <v>1648</v>
      </c>
      <c r="J139" s="12" t="s">
        <v>1649</v>
      </c>
      <c r="K139" t="s">
        <v>956</v>
      </c>
      <c r="L139" t="str">
        <f>_xlfn.CONCAT(Tbl_Employee_Details[[#This Row],[First Name]],".",Tbl_Employee_Details[[#This Row],[Last Name]],"@saregama.com")</f>
        <v>Garnette.Kares@saregama.com</v>
      </c>
      <c r="M139" s="6">
        <f ca="1">(TODAY() - 'Employee Onboarding'!E139)/365.25</f>
        <v>24.741957563312798</v>
      </c>
      <c r="N139">
        <v>167882</v>
      </c>
      <c r="O139" s="13" t="s">
        <v>13</v>
      </c>
      <c r="P139" s="6">
        <f ca="1">YEARFRAC(Tbl_Employee_Details[[#This Row],[Date of Birth]],TODAY())</f>
        <v>37.75</v>
      </c>
      <c r="Q139" s="13" t="s">
        <v>1559</v>
      </c>
      <c r="R139" s="2" t="s">
        <v>941</v>
      </c>
      <c r="S139" s="11" t="str">
        <f>IF(ISNA(VLOOKUP(A139,Tbl_Exit_Formalities[Employee ID],1,FALSE)), "No", "Yes")</f>
        <v>No</v>
      </c>
      <c r="T139" s="22">
        <f ca="1">Tbl_Employee_Details[[#This Row],[Experience in SAREGAMA]]/((SUMIFS(Tbl_Employee_Details[Experience in SAREGAMA],Tbl_Employee_Details[Department],Tbl_Employee_Details[[#This Row],[Department]])))</f>
        <v>5.2227635510399877E-2</v>
      </c>
    </row>
    <row r="140" spans="1:20" x14ac:dyDescent="0.3">
      <c r="A140" s="2">
        <v>107436</v>
      </c>
      <c r="B140" t="s">
        <v>438</v>
      </c>
      <c r="C140" t="s">
        <v>439</v>
      </c>
      <c r="D140" t="s">
        <v>950</v>
      </c>
      <c r="E140" s="3" t="s">
        <v>1650</v>
      </c>
      <c r="F140" s="4" t="s">
        <v>1651</v>
      </c>
      <c r="G140" t="s">
        <v>2521</v>
      </c>
      <c r="H140" t="s">
        <v>1652</v>
      </c>
      <c r="I140" s="12" t="s">
        <v>1653</v>
      </c>
      <c r="J140" s="12" t="s">
        <v>1654</v>
      </c>
      <c r="K140" t="s">
        <v>1066</v>
      </c>
      <c r="L140" t="str">
        <f>_xlfn.CONCAT(Tbl_Employee_Details[[#This Row],[First Name]],".",Tbl_Employee_Details[[#This Row],[Last Name]],"@saregama.com")</f>
        <v>Coral.Lavigne@saregama.com</v>
      </c>
      <c r="M140" s="6">
        <f ca="1">(TODAY() - 'Employee Onboarding'!E140)/365.25</f>
        <v>40.219028062970565</v>
      </c>
      <c r="N140">
        <v>700386</v>
      </c>
      <c r="O140" s="13" t="s">
        <v>63</v>
      </c>
      <c r="P140" s="6">
        <f ca="1">YEARFRAC(Tbl_Employee_Details[[#This Row],[Date of Birth]],TODAY())</f>
        <v>43.875</v>
      </c>
      <c r="Q140" s="13" t="s">
        <v>976</v>
      </c>
      <c r="R140" s="2" t="s">
        <v>1019</v>
      </c>
      <c r="S140" s="11" t="str">
        <f>IF(ISNA(VLOOKUP(A140,Tbl_Exit_Formalities[Employee ID],1,FALSE)), "No", "Yes")</f>
        <v>No</v>
      </c>
      <c r="T140" s="22">
        <f ca="1">Tbl_Employee_Details[[#This Row],[Experience in SAREGAMA]]/((SUMIFS(Tbl_Employee_Details[Experience in SAREGAMA],Tbl_Employee_Details[Department],Tbl_Employee_Details[[#This Row],[Department]])))</f>
        <v>0.13736032540090701</v>
      </c>
    </row>
    <row r="141" spans="1:20" x14ac:dyDescent="0.3">
      <c r="A141" s="2">
        <v>107818</v>
      </c>
      <c r="B141" t="s">
        <v>441</v>
      </c>
      <c r="C141" t="s">
        <v>442</v>
      </c>
      <c r="D141" t="s">
        <v>933</v>
      </c>
      <c r="E141" s="3" t="s">
        <v>1655</v>
      </c>
      <c r="F141" s="4" t="s">
        <v>1656</v>
      </c>
      <c r="G141" t="s">
        <v>2488</v>
      </c>
      <c r="H141" t="s">
        <v>1657</v>
      </c>
      <c r="I141" s="12" t="s">
        <v>1658</v>
      </c>
      <c r="J141" s="12" t="s">
        <v>1659</v>
      </c>
      <c r="K141" t="s">
        <v>1013</v>
      </c>
      <c r="L141" t="str">
        <f>_xlfn.CONCAT(Tbl_Employee_Details[[#This Row],[First Name]],".",Tbl_Employee_Details[[#This Row],[Last Name]],"@saregama.com")</f>
        <v>Emmanuel.Esselen@saregama.com</v>
      </c>
      <c r="M141" s="6">
        <f ca="1">(TODAY() - 'Employee Onboarding'!E141)/365.25</f>
        <v>4.0109514031485283</v>
      </c>
      <c r="N141">
        <v>1067156</v>
      </c>
      <c r="O141" s="13" t="s">
        <v>51</v>
      </c>
      <c r="P141" s="6">
        <f ca="1">YEARFRAC(Tbl_Employee_Details[[#This Row],[Date of Birth]],TODAY())</f>
        <v>39.238888888888887</v>
      </c>
      <c r="Q141" s="13" t="s">
        <v>1660</v>
      </c>
      <c r="R141" s="2" t="s">
        <v>949</v>
      </c>
      <c r="S141" s="11" t="str">
        <f>IF(ISNA(VLOOKUP(A141,Tbl_Exit_Formalities[Employee ID],1,FALSE)), "No", "Yes")</f>
        <v>No</v>
      </c>
      <c r="T141" s="22">
        <f ca="1">Tbl_Employee_Details[[#This Row],[Experience in SAREGAMA]]/((SUMIFS(Tbl_Employee_Details[Experience in SAREGAMA],Tbl_Employee_Details[Department],Tbl_Employee_Details[[#This Row],[Department]])))</f>
        <v>1.0900054314263819E-2</v>
      </c>
    </row>
    <row r="142" spans="1:20" x14ac:dyDescent="0.3">
      <c r="A142" s="2">
        <v>105225</v>
      </c>
      <c r="B142" t="s">
        <v>444</v>
      </c>
      <c r="C142" t="s">
        <v>445</v>
      </c>
      <c r="D142" t="s">
        <v>933</v>
      </c>
      <c r="E142" s="3" t="s">
        <v>1661</v>
      </c>
      <c r="F142" s="4" t="s">
        <v>1662</v>
      </c>
      <c r="G142" t="s">
        <v>2482</v>
      </c>
      <c r="H142" t="s">
        <v>1663</v>
      </c>
      <c r="I142" s="12" t="s">
        <v>1664</v>
      </c>
      <c r="J142" s="12" t="s">
        <v>1665</v>
      </c>
      <c r="K142" t="s">
        <v>939</v>
      </c>
      <c r="L142" t="str">
        <f>_xlfn.CONCAT(Tbl_Employee_Details[[#This Row],[First Name]],".",Tbl_Employee_Details[[#This Row],[Last Name]],"@saregama.com")</f>
        <v>Enrico.Ottam@saregama.com</v>
      </c>
      <c r="M142" s="6">
        <f ca="1">(TODAY() - 'Employee Onboarding'!E142)/365.25</f>
        <v>31.917864476386036</v>
      </c>
      <c r="N142">
        <v>97361</v>
      </c>
      <c r="O142" s="13" t="s">
        <v>46</v>
      </c>
      <c r="P142" s="6">
        <f ca="1">YEARFRAC(Tbl_Employee_Details[[#This Row],[Date of Birth]],TODAY())</f>
        <v>38.241666666666667</v>
      </c>
      <c r="Q142" s="13" t="s">
        <v>1559</v>
      </c>
      <c r="R142" s="2" t="s">
        <v>958</v>
      </c>
      <c r="S142" s="11" t="str">
        <f>IF(ISNA(VLOOKUP(A142,Tbl_Exit_Formalities[Employee ID],1,FALSE)), "No", "Yes")</f>
        <v>No</v>
      </c>
      <c r="T142" s="22">
        <f ca="1">Tbl_Employee_Details[[#This Row],[Experience in SAREGAMA]]/((SUMIFS(Tbl_Employee_Details[Experience in SAREGAMA],Tbl_Employee_Details[Department],Tbl_Employee_Details[[#This Row],[Department]])))</f>
        <v>6.7375210222445706E-2</v>
      </c>
    </row>
    <row r="143" spans="1:20" x14ac:dyDescent="0.3">
      <c r="A143" s="2">
        <v>103636</v>
      </c>
      <c r="B143" t="s">
        <v>447</v>
      </c>
      <c r="C143" t="s">
        <v>448</v>
      </c>
      <c r="D143" t="s">
        <v>950</v>
      </c>
      <c r="E143" s="3" t="s">
        <v>1666</v>
      </c>
      <c r="F143" s="4" t="s">
        <v>1667</v>
      </c>
      <c r="G143" t="s">
        <v>2521</v>
      </c>
      <c r="H143" t="s">
        <v>1668</v>
      </c>
      <c r="I143" s="12" t="s">
        <v>1669</v>
      </c>
      <c r="J143" s="12" t="s">
        <v>1670</v>
      </c>
      <c r="K143" t="s">
        <v>947</v>
      </c>
      <c r="L143" t="str">
        <f>_xlfn.CONCAT(Tbl_Employee_Details[[#This Row],[First Name]],".",Tbl_Employee_Details[[#This Row],[Last Name]],"@saregama.com")</f>
        <v>Consolata.Goucher@saregama.com</v>
      </c>
      <c r="M143" s="6">
        <f ca="1">(TODAY() - 'Employee Onboarding'!E143)/365.25</f>
        <v>22.45037645448323</v>
      </c>
      <c r="N143">
        <v>697699</v>
      </c>
      <c r="O143" s="13" t="s">
        <v>129</v>
      </c>
      <c r="P143" s="6">
        <f ca="1">YEARFRAC(Tbl_Employee_Details[[#This Row],[Date of Birth]],TODAY())</f>
        <v>23.652777777777779</v>
      </c>
      <c r="Q143" s="13" t="s">
        <v>1055</v>
      </c>
      <c r="R143" s="2" t="s">
        <v>941</v>
      </c>
      <c r="S143" s="11" t="str">
        <f>IF(ISNA(VLOOKUP(A143,Tbl_Exit_Formalities[Employee ID],1,FALSE)), "No", "Yes")</f>
        <v>Yes</v>
      </c>
      <c r="T143" s="22">
        <f ca="1">Tbl_Employee_Details[[#This Row],[Experience in SAREGAMA]]/((SUMIFS(Tbl_Employee_Details[Experience in SAREGAMA],Tbl_Employee_Details[Department],Tbl_Employee_Details[[#This Row],[Department]])))</f>
        <v>4.7064495577659293E-2</v>
      </c>
    </row>
    <row r="144" spans="1:20" x14ac:dyDescent="0.3">
      <c r="A144" s="2">
        <v>104612</v>
      </c>
      <c r="B144" t="s">
        <v>450</v>
      </c>
      <c r="C144" t="s">
        <v>451</v>
      </c>
      <c r="D144" t="s">
        <v>933</v>
      </c>
      <c r="E144" s="3" t="s">
        <v>1671</v>
      </c>
      <c r="F144" s="4" t="s">
        <v>1672</v>
      </c>
      <c r="G144" t="s">
        <v>2486</v>
      </c>
      <c r="H144" t="s">
        <v>1673</v>
      </c>
      <c r="I144" s="12" t="s">
        <v>1674</v>
      </c>
      <c r="J144" s="12" t="s">
        <v>1675</v>
      </c>
      <c r="K144" t="s">
        <v>956</v>
      </c>
      <c r="L144" t="str">
        <f>_xlfn.CONCAT(Tbl_Employee_Details[[#This Row],[First Name]],".",Tbl_Employee_Details[[#This Row],[Last Name]],"@saregama.com")</f>
        <v>Roley.Grinham@saregama.com</v>
      </c>
      <c r="M144" s="6">
        <f ca="1">(TODAY() - 'Employee Onboarding'!E144)/365.25</f>
        <v>1.1033538672142369</v>
      </c>
      <c r="N144">
        <v>401648</v>
      </c>
      <c r="O144" s="13" t="s">
        <v>22</v>
      </c>
      <c r="P144" s="6">
        <f ca="1">YEARFRAC(Tbl_Employee_Details[[#This Row],[Date of Birth]],TODAY())</f>
        <v>32.166666666666664</v>
      </c>
      <c r="Q144" s="13" t="s">
        <v>1559</v>
      </c>
      <c r="R144" s="2" t="s">
        <v>958</v>
      </c>
      <c r="S144" s="11" t="str">
        <f>IF(ISNA(VLOOKUP(A144,Tbl_Exit_Formalities[Employee ID],1,FALSE)), "No", "Yes")</f>
        <v>No</v>
      </c>
      <c r="T144" s="22">
        <f ca="1">Tbl_Employee_Details[[#This Row],[Experience in SAREGAMA]]/((SUMIFS(Tbl_Employee_Details[Experience in SAREGAMA],Tbl_Employee_Details[Department],Tbl_Employee_Details[[#This Row],[Department]])))</f>
        <v>2.3290624223405061E-3</v>
      </c>
    </row>
    <row r="145" spans="1:20" x14ac:dyDescent="0.3">
      <c r="A145" s="2">
        <v>102401</v>
      </c>
      <c r="B145" t="s">
        <v>453</v>
      </c>
      <c r="C145" t="s">
        <v>454</v>
      </c>
      <c r="D145" t="s">
        <v>933</v>
      </c>
      <c r="E145" s="3" t="s">
        <v>1676</v>
      </c>
      <c r="F145" s="4" t="s">
        <v>1677</v>
      </c>
      <c r="G145" t="s">
        <v>2534</v>
      </c>
      <c r="H145" t="s">
        <v>1678</v>
      </c>
      <c r="I145" s="12" t="s">
        <v>1679</v>
      </c>
      <c r="J145" s="12" t="s">
        <v>1680</v>
      </c>
      <c r="K145" t="s">
        <v>939</v>
      </c>
      <c r="L145" t="str">
        <f>_xlfn.CONCAT(Tbl_Employee_Details[[#This Row],[First Name]],".",Tbl_Employee_Details[[#This Row],[Last Name]],"@saregama.com")</f>
        <v>Berti.Rheam@saregama.com</v>
      </c>
      <c r="M145" s="6">
        <f ca="1">(TODAY() - 'Employee Onboarding'!E145)/365.25</f>
        <v>8.5612594113620801</v>
      </c>
      <c r="N145">
        <v>515854</v>
      </c>
      <c r="O145" s="13" t="s">
        <v>63</v>
      </c>
      <c r="P145" s="6">
        <f ca="1">YEARFRAC(Tbl_Employee_Details[[#This Row],[Date of Birth]],TODAY())</f>
        <v>21.558333333333334</v>
      </c>
      <c r="Q145" s="13" t="s">
        <v>1055</v>
      </c>
      <c r="R145" s="2" t="s">
        <v>949</v>
      </c>
      <c r="S145" s="11" t="str">
        <f>IF(ISNA(VLOOKUP(A145,Tbl_Exit_Formalities[Employee ID],1,FALSE)), "No", "Yes")</f>
        <v>No</v>
      </c>
      <c r="T145" s="22">
        <f ca="1">Tbl_Employee_Details[[#This Row],[Experience in SAREGAMA]]/((SUMIFS(Tbl_Employee_Details[Experience in SAREGAMA],Tbl_Employee_Details[Department],Tbl_Employee_Details[[#This Row],[Department]])))</f>
        <v>1.7947643618456171E-2</v>
      </c>
    </row>
    <row r="146" spans="1:20" x14ac:dyDescent="0.3">
      <c r="A146" s="2">
        <v>106466</v>
      </c>
      <c r="B146" t="s">
        <v>456</v>
      </c>
      <c r="C146" t="s">
        <v>457</v>
      </c>
      <c r="D146" t="s">
        <v>933</v>
      </c>
      <c r="E146" s="3" t="s">
        <v>1681</v>
      </c>
      <c r="F146" s="4" t="s">
        <v>1682</v>
      </c>
      <c r="G146" t="s">
        <v>2486</v>
      </c>
      <c r="H146" t="s">
        <v>1683</v>
      </c>
      <c r="I146" s="12" t="s">
        <v>1684</v>
      </c>
      <c r="J146" s="12" t="s">
        <v>1685</v>
      </c>
      <c r="K146" t="s">
        <v>989</v>
      </c>
      <c r="L146" t="str">
        <f>_xlfn.CONCAT(Tbl_Employee_Details[[#This Row],[First Name]],".",Tbl_Employee_Details[[#This Row],[Last Name]],"@saregama.com")</f>
        <v>David.Whereat@saregama.com</v>
      </c>
      <c r="M146" s="6">
        <f ca="1">(TODAY() - 'Employee Onboarding'!E146)/365.25</f>
        <v>0.52840520191649554</v>
      </c>
      <c r="N146">
        <v>395095</v>
      </c>
      <c r="O146" s="13" t="s">
        <v>22</v>
      </c>
      <c r="P146" s="6">
        <f ca="1">YEARFRAC(Tbl_Employee_Details[[#This Row],[Date of Birth]],TODAY())</f>
        <v>33.591666666666669</v>
      </c>
      <c r="Q146" s="13" t="s">
        <v>1559</v>
      </c>
      <c r="R146" s="2" t="s">
        <v>958</v>
      </c>
      <c r="S146" s="11" t="str">
        <f>IF(ISNA(VLOOKUP(A146,Tbl_Exit_Formalities[Employee ID],1,FALSE)), "No", "Yes")</f>
        <v>No</v>
      </c>
      <c r="T146" s="22">
        <f ca="1">Tbl_Employee_Details[[#This Row],[Experience in SAREGAMA]]/((SUMIFS(Tbl_Employee_Details[Experience in SAREGAMA],Tbl_Employee_Details[Department],Tbl_Employee_Details[[#This Row],[Department]])))</f>
        <v>1.1154070657858998E-3</v>
      </c>
    </row>
    <row r="147" spans="1:20" x14ac:dyDescent="0.3">
      <c r="A147" s="2">
        <v>104917</v>
      </c>
      <c r="B147" t="s">
        <v>459</v>
      </c>
      <c r="C147" t="s">
        <v>460</v>
      </c>
      <c r="D147" t="s">
        <v>933</v>
      </c>
      <c r="E147" s="3" t="s">
        <v>1686</v>
      </c>
      <c r="F147" s="4" t="s">
        <v>1687</v>
      </c>
      <c r="G147" t="s">
        <v>2534</v>
      </c>
      <c r="H147" t="s">
        <v>1688</v>
      </c>
      <c r="I147" s="12" t="s">
        <v>1689</v>
      </c>
      <c r="J147" s="12" t="s">
        <v>1690</v>
      </c>
      <c r="K147" t="s">
        <v>939</v>
      </c>
      <c r="L147" t="str">
        <f>_xlfn.CONCAT(Tbl_Employee_Details[[#This Row],[First Name]],".",Tbl_Employee_Details[[#This Row],[Last Name]],"@saregama.com")</f>
        <v>Binky.Capner@saregama.com</v>
      </c>
      <c r="M147" s="6">
        <f ca="1">(TODAY() - 'Employee Onboarding'!E147)/365.25</f>
        <v>23.605749486652979</v>
      </c>
      <c r="N147">
        <v>546598</v>
      </c>
      <c r="O147" s="13" t="s">
        <v>63</v>
      </c>
      <c r="P147" s="6">
        <f ca="1">YEARFRAC(Tbl_Employee_Details[[#This Row],[Date of Birth]],TODAY())</f>
        <v>44.65</v>
      </c>
      <c r="Q147" s="13" t="s">
        <v>1413</v>
      </c>
      <c r="R147" s="2" t="s">
        <v>949</v>
      </c>
      <c r="S147" s="11" t="str">
        <f>IF(ISNA(VLOOKUP(A147,Tbl_Exit_Formalities[Employee ID],1,FALSE)), "No", "Yes")</f>
        <v>No</v>
      </c>
      <c r="T147" s="22">
        <f ca="1">Tbl_Employee_Details[[#This Row],[Experience in SAREGAMA]]/((SUMIFS(Tbl_Employee_Details[Experience in SAREGAMA],Tbl_Employee_Details[Department],Tbl_Employee_Details[[#This Row],[Department]])))</f>
        <v>8.5715989978923948E-2</v>
      </c>
    </row>
    <row r="148" spans="1:20" x14ac:dyDescent="0.3">
      <c r="A148" s="2">
        <v>107662</v>
      </c>
      <c r="B148" t="s">
        <v>462</v>
      </c>
      <c r="C148" t="s">
        <v>463</v>
      </c>
      <c r="D148" t="s">
        <v>933</v>
      </c>
      <c r="E148" s="3" t="s">
        <v>1691</v>
      </c>
      <c r="F148" s="4" t="s">
        <v>1692</v>
      </c>
      <c r="G148" t="s">
        <v>2523</v>
      </c>
      <c r="H148" t="s">
        <v>1693</v>
      </c>
      <c r="I148" s="12" t="s">
        <v>1694</v>
      </c>
      <c r="J148" s="12" t="s">
        <v>1695</v>
      </c>
      <c r="K148" t="s">
        <v>989</v>
      </c>
      <c r="L148" t="str">
        <f>_xlfn.CONCAT(Tbl_Employee_Details[[#This Row],[First Name]],".",Tbl_Employee_Details[[#This Row],[Last Name]],"@saregama.com")</f>
        <v>Monroe.Giovani@saregama.com</v>
      </c>
      <c r="M148" s="6">
        <f ca="1">(TODAY() - 'Employee Onboarding'!E148)/365.25</f>
        <v>24.073921971252567</v>
      </c>
      <c r="N148">
        <v>127372</v>
      </c>
      <c r="O148" s="13" t="s">
        <v>46</v>
      </c>
      <c r="P148" s="6">
        <f ca="1">YEARFRAC(Tbl_Employee_Details[[#This Row],[Date of Birth]],TODAY())</f>
        <v>35.019444444444446</v>
      </c>
      <c r="Q148" s="13" t="s">
        <v>1559</v>
      </c>
      <c r="R148" s="2" t="s">
        <v>941</v>
      </c>
      <c r="S148" s="11" t="str">
        <f>IF(ISNA(VLOOKUP(A148,Tbl_Exit_Formalities[Employee ID],1,FALSE)), "No", "Yes")</f>
        <v>No</v>
      </c>
      <c r="T148" s="22">
        <f ca="1">Tbl_Employee_Details[[#This Row],[Experience in SAREGAMA]]/((SUMIFS(Tbl_Employee_Details[Experience in SAREGAMA],Tbl_Employee_Details[Department],Tbl_Employee_Details[[#This Row],[Department]])))</f>
        <v>5.0817483572307864E-2</v>
      </c>
    </row>
    <row r="149" spans="1:20" x14ac:dyDescent="0.3">
      <c r="A149" s="2">
        <v>105592</v>
      </c>
      <c r="B149" t="s">
        <v>465</v>
      </c>
      <c r="C149" t="s">
        <v>466</v>
      </c>
      <c r="D149" t="s">
        <v>933</v>
      </c>
      <c r="E149" s="3" t="s">
        <v>1696</v>
      </c>
      <c r="F149" s="4" t="s">
        <v>1697</v>
      </c>
      <c r="G149" t="s">
        <v>2514</v>
      </c>
      <c r="H149" t="s">
        <v>1698</v>
      </c>
      <c r="I149" s="12" t="s">
        <v>1699</v>
      </c>
      <c r="J149" s="12" t="s">
        <v>1700</v>
      </c>
      <c r="K149" t="s">
        <v>947</v>
      </c>
      <c r="L149" t="str">
        <f>_xlfn.CONCAT(Tbl_Employee_Details[[#This Row],[First Name]],".",Tbl_Employee_Details[[#This Row],[Last Name]],"@saregama.com")</f>
        <v>Christiano.Nursey@saregama.com</v>
      </c>
      <c r="M149" s="6">
        <f ca="1">(TODAY() - 'Employee Onboarding'!E149)/365.25</f>
        <v>0.84873374401095136</v>
      </c>
      <c r="N149">
        <v>390282</v>
      </c>
      <c r="O149" s="13" t="s">
        <v>22</v>
      </c>
      <c r="P149" s="6">
        <f ca="1">YEARFRAC(Tbl_Employee_Details[[#This Row],[Date of Birth]],TODAY())</f>
        <v>18.272222222222222</v>
      </c>
      <c r="Q149" s="13" t="s">
        <v>1559</v>
      </c>
      <c r="R149" s="2" t="s">
        <v>977</v>
      </c>
      <c r="S149" s="11" t="str">
        <f>IF(ISNA(VLOOKUP(A149,Tbl_Exit_Formalities[Employee ID],1,FALSE)), "No", "Yes")</f>
        <v>No</v>
      </c>
      <c r="T149" s="22">
        <f ca="1">Tbl_Employee_Details[[#This Row],[Experience in SAREGAMA]]/((SUMIFS(Tbl_Employee_Details[Experience in SAREGAMA],Tbl_Employee_Details[Department],Tbl_Employee_Details[[#This Row],[Department]])))</f>
        <v>1.791586478723466E-3</v>
      </c>
    </row>
    <row r="150" spans="1:20" x14ac:dyDescent="0.3">
      <c r="A150" s="2">
        <v>105261</v>
      </c>
      <c r="B150" t="s">
        <v>468</v>
      </c>
      <c r="C150" t="s">
        <v>469</v>
      </c>
      <c r="D150" t="s">
        <v>950</v>
      </c>
      <c r="E150" s="3" t="s">
        <v>1701</v>
      </c>
      <c r="F150" s="4" t="s">
        <v>1702</v>
      </c>
      <c r="G150" t="s">
        <v>2482</v>
      </c>
      <c r="H150" t="s">
        <v>1703</v>
      </c>
      <c r="I150" s="12" t="s">
        <v>1704</v>
      </c>
      <c r="J150" s="12" t="s">
        <v>1705</v>
      </c>
      <c r="K150" t="s">
        <v>939</v>
      </c>
      <c r="L150" t="str">
        <f>_xlfn.CONCAT(Tbl_Employee_Details[[#This Row],[First Name]],".",Tbl_Employee_Details[[#This Row],[Last Name]],"@saregama.com")</f>
        <v>Letitia.Bessom@saregama.com</v>
      </c>
      <c r="M150" s="6">
        <f ca="1">(TODAY() - 'Employee Onboarding'!E150)/365.25</f>
        <v>32.999315537303218</v>
      </c>
      <c r="N150">
        <v>656160</v>
      </c>
      <c r="O150" s="13" t="s">
        <v>129</v>
      </c>
      <c r="P150" s="6">
        <f ca="1">YEARFRAC(Tbl_Employee_Details[[#This Row],[Date of Birth]],TODAY())</f>
        <v>35.427777777777777</v>
      </c>
      <c r="Q150" s="13" t="s">
        <v>940</v>
      </c>
      <c r="R150" s="2" t="s">
        <v>958</v>
      </c>
      <c r="S150" s="11" t="str">
        <f>IF(ISNA(VLOOKUP(A150,Tbl_Exit_Formalities[Employee ID],1,FALSE)), "No", "Yes")</f>
        <v>No</v>
      </c>
      <c r="T150" s="22">
        <f ca="1">Tbl_Employee_Details[[#This Row],[Experience in SAREGAMA]]/((SUMIFS(Tbl_Employee_Details[Experience in SAREGAMA],Tbl_Employee_Details[Department],Tbl_Employee_Details[[#This Row],[Department]])))</f>
        <v>0.10647808687509384</v>
      </c>
    </row>
    <row r="151" spans="1:20" x14ac:dyDescent="0.3">
      <c r="A151" s="2">
        <v>107116</v>
      </c>
      <c r="B151" t="s">
        <v>471</v>
      </c>
      <c r="C151" t="s">
        <v>472</v>
      </c>
      <c r="D151" t="s">
        <v>950</v>
      </c>
      <c r="E151" s="3" t="s">
        <v>1706</v>
      </c>
      <c r="F151" s="4" t="s">
        <v>1707</v>
      </c>
      <c r="G151" t="s">
        <v>2539</v>
      </c>
      <c r="H151" t="s">
        <v>1708</v>
      </c>
      <c r="I151" s="12" t="s">
        <v>1709</v>
      </c>
      <c r="J151" s="12" t="s">
        <v>1710</v>
      </c>
      <c r="K151" t="s">
        <v>947</v>
      </c>
      <c r="L151" t="str">
        <f>_xlfn.CONCAT(Tbl_Employee_Details[[#This Row],[First Name]],".",Tbl_Employee_Details[[#This Row],[Last Name]],"@saregama.com")</f>
        <v>Garnet.Edeson@saregama.com</v>
      </c>
      <c r="M151" s="6">
        <f ca="1">(TODAY() - 'Employee Onboarding'!E151)/365.25</f>
        <v>2.4695414099931554</v>
      </c>
      <c r="N151">
        <v>549742</v>
      </c>
      <c r="O151" s="13" t="s">
        <v>63</v>
      </c>
      <c r="P151" s="6">
        <f ca="1">YEARFRAC(Tbl_Employee_Details[[#This Row],[Date of Birth]],TODAY())</f>
        <v>18.68611111111111</v>
      </c>
      <c r="Q151" s="13" t="s">
        <v>976</v>
      </c>
      <c r="R151" s="2" t="s">
        <v>1002</v>
      </c>
      <c r="S151" s="11" t="str">
        <f>IF(ISNA(VLOOKUP(A151,Tbl_Exit_Formalities[Employee ID],1,FALSE)), "No", "Yes")</f>
        <v>Yes</v>
      </c>
      <c r="T151" s="22">
        <f ca="1">Tbl_Employee_Details[[#This Row],[Experience in SAREGAMA]]/((SUMIFS(Tbl_Employee_Details[Experience in SAREGAMA],Tbl_Employee_Details[Department],Tbl_Employee_Details[[#This Row],[Department]])))</f>
        <v>8.4342419000420776E-3</v>
      </c>
    </row>
    <row r="152" spans="1:20" x14ac:dyDescent="0.3">
      <c r="A152" s="2">
        <v>104240</v>
      </c>
      <c r="B152" t="s">
        <v>474</v>
      </c>
      <c r="C152" t="s">
        <v>475</v>
      </c>
      <c r="D152" t="s">
        <v>933</v>
      </c>
      <c r="E152" s="3" t="s">
        <v>1711</v>
      </c>
      <c r="F152" s="4" t="s">
        <v>1712</v>
      </c>
      <c r="G152" t="s">
        <v>2524</v>
      </c>
      <c r="H152" t="s">
        <v>1713</v>
      </c>
      <c r="I152" s="12" t="s">
        <v>1714</v>
      </c>
      <c r="J152" s="12" t="s">
        <v>1715</v>
      </c>
      <c r="K152" t="s">
        <v>1013</v>
      </c>
      <c r="L152" t="str">
        <f>_xlfn.CONCAT(Tbl_Employee_Details[[#This Row],[First Name]],".",Tbl_Employee_Details[[#This Row],[Last Name]],"@saregama.com")</f>
        <v>Brandon.O'Roan@saregama.com</v>
      </c>
      <c r="M152" s="6">
        <f ca="1">(TODAY() - 'Employee Onboarding'!E152)/365.25</f>
        <v>23.159479808350444</v>
      </c>
      <c r="N152">
        <v>665730</v>
      </c>
      <c r="O152" s="13" t="s">
        <v>63</v>
      </c>
      <c r="P152" s="6">
        <f ca="1">YEARFRAC(Tbl_Employee_Details[[#This Row],[Date of Birth]],TODAY())</f>
        <v>35.113888888888887</v>
      </c>
      <c r="Q152" s="13" t="s">
        <v>940</v>
      </c>
      <c r="R152" s="2" t="s">
        <v>958</v>
      </c>
      <c r="S152" s="11" t="str">
        <f>IF(ISNA(VLOOKUP(A152,Tbl_Exit_Formalities[Employee ID],1,FALSE)), "No", "Yes")</f>
        <v>Yes</v>
      </c>
      <c r="T152" s="22">
        <f ca="1">Tbl_Employee_Details[[#This Row],[Experience in SAREGAMA]]/((SUMIFS(Tbl_Employee_Details[Experience in SAREGAMA],Tbl_Employee_Details[Department],Tbl_Employee_Details[[#This Row],[Department]])))</f>
        <v>7.4728128837336663E-2</v>
      </c>
    </row>
    <row r="153" spans="1:20" x14ac:dyDescent="0.3">
      <c r="A153" s="2">
        <v>107547</v>
      </c>
      <c r="B153" t="s">
        <v>477</v>
      </c>
      <c r="C153" t="s">
        <v>478</v>
      </c>
      <c r="D153" t="s">
        <v>933</v>
      </c>
      <c r="E153" s="3" t="s">
        <v>1716</v>
      </c>
      <c r="F153" s="4" t="s">
        <v>1717</v>
      </c>
      <c r="G153" t="s">
        <v>2486</v>
      </c>
      <c r="H153" t="s">
        <v>1718</v>
      </c>
      <c r="I153" s="12" t="s">
        <v>1719</v>
      </c>
      <c r="J153" s="12" t="s">
        <v>1720</v>
      </c>
      <c r="K153" t="s">
        <v>989</v>
      </c>
      <c r="L153" t="str">
        <f>_xlfn.CONCAT(Tbl_Employee_Details[[#This Row],[First Name]],".",Tbl_Employee_Details[[#This Row],[Last Name]],"@saregama.com")</f>
        <v>Virge.Tomet@saregama.com</v>
      </c>
      <c r="M153" s="6">
        <f ca="1">(TODAY() - 'Employee Onboarding'!E153)/365.25</f>
        <v>16.043805612594113</v>
      </c>
      <c r="N153">
        <v>133560</v>
      </c>
      <c r="O153" s="13" t="s">
        <v>13</v>
      </c>
      <c r="P153" s="6">
        <f ca="1">YEARFRAC(Tbl_Employee_Details[[#This Row],[Date of Birth]],TODAY())</f>
        <v>27.402777777777779</v>
      </c>
      <c r="Q153" s="13" t="s">
        <v>1660</v>
      </c>
      <c r="R153" s="2" t="s">
        <v>941</v>
      </c>
      <c r="S153" s="11" t="str">
        <f>IF(ISNA(VLOOKUP(A153,Tbl_Exit_Formalities[Employee ID],1,FALSE)), "No", "Yes")</f>
        <v>No</v>
      </c>
      <c r="T153" s="22">
        <f ca="1">Tbl_Employee_Details[[#This Row],[Experience in SAREGAMA]]/((SUMIFS(Tbl_Employee_Details[Experience in SAREGAMA],Tbl_Employee_Details[Department],Tbl_Employee_Details[[#This Row],[Department]])))</f>
        <v>4.3600217257055277E-2</v>
      </c>
    </row>
    <row r="154" spans="1:20" x14ac:dyDescent="0.3">
      <c r="A154" s="2">
        <v>105204</v>
      </c>
      <c r="B154" t="s">
        <v>480</v>
      </c>
      <c r="C154" t="s">
        <v>481</v>
      </c>
      <c r="D154" t="s">
        <v>933</v>
      </c>
      <c r="E154" s="3" t="s">
        <v>1721</v>
      </c>
      <c r="F154" s="4" t="s">
        <v>1722</v>
      </c>
      <c r="G154" t="s">
        <v>2563</v>
      </c>
      <c r="H154" t="s">
        <v>1723</v>
      </c>
      <c r="I154" s="12" t="s">
        <v>1724</v>
      </c>
      <c r="J154" s="12" t="s">
        <v>1725</v>
      </c>
      <c r="K154" t="s">
        <v>939</v>
      </c>
      <c r="L154" t="str">
        <f>_xlfn.CONCAT(Tbl_Employee_Details[[#This Row],[First Name]],".",Tbl_Employee_Details[[#This Row],[Last Name]],"@saregama.com")</f>
        <v>Red.Cottrell@saregama.com</v>
      </c>
      <c r="M154" s="6">
        <f ca="1">(TODAY() - 'Employee Onboarding'!E154)/365.25</f>
        <v>16.958247775496236</v>
      </c>
      <c r="N154">
        <v>120307</v>
      </c>
      <c r="O154" s="13" t="s">
        <v>46</v>
      </c>
      <c r="P154" s="6">
        <f ca="1">YEARFRAC(Tbl_Employee_Details[[#This Row],[Date of Birth]],TODAY())</f>
        <v>25.3</v>
      </c>
      <c r="Q154" s="13" t="s">
        <v>1660</v>
      </c>
      <c r="R154" s="2" t="s">
        <v>977</v>
      </c>
      <c r="S154" s="11" t="str">
        <f>IF(ISNA(VLOOKUP(A154,Tbl_Exit_Formalities[Employee ID],1,FALSE)), "No", "Yes")</f>
        <v>Yes</v>
      </c>
      <c r="T154" s="22">
        <f ca="1">Tbl_Employee_Details[[#This Row],[Experience in SAREGAMA]]/((SUMIFS(Tbl_Employee_Details[Experience in SAREGAMA],Tbl_Employee_Details[Department],Tbl_Employee_Details[[#This Row],[Department]])))</f>
        <v>4.6085280834505186E-2</v>
      </c>
    </row>
    <row r="155" spans="1:20" x14ac:dyDescent="0.3">
      <c r="A155" s="2">
        <v>104305</v>
      </c>
      <c r="B155" t="s">
        <v>482</v>
      </c>
      <c r="C155" t="s">
        <v>483</v>
      </c>
      <c r="D155" t="s">
        <v>950</v>
      </c>
      <c r="E155" s="3" t="s">
        <v>1726</v>
      </c>
      <c r="F155" s="4" t="s">
        <v>1727</v>
      </c>
      <c r="G155" t="s">
        <v>2538</v>
      </c>
      <c r="H155" t="s">
        <v>1728</v>
      </c>
      <c r="I155" s="12" t="s">
        <v>1729</v>
      </c>
      <c r="J155" s="12" t="s">
        <v>1730</v>
      </c>
      <c r="K155" t="s">
        <v>989</v>
      </c>
      <c r="L155" t="str">
        <f>_xlfn.CONCAT(Tbl_Employee_Details[[#This Row],[First Name]],".",Tbl_Employee_Details[[#This Row],[Last Name]],"@saregama.com")</f>
        <v>Randene.Meachen@saregama.com</v>
      </c>
      <c r="M155" s="6">
        <f ca="1">(TODAY() - 'Employee Onboarding'!E155)/365.25</f>
        <v>0.56673511293634493</v>
      </c>
      <c r="N155">
        <v>274580</v>
      </c>
      <c r="O155" s="13" t="s">
        <v>35</v>
      </c>
      <c r="P155" s="6">
        <f ca="1">YEARFRAC(Tbl_Employee_Details[[#This Row],[Date of Birth]],TODAY())</f>
        <v>29.077777777777779</v>
      </c>
      <c r="Q155" s="13" t="s">
        <v>1660</v>
      </c>
      <c r="R155" s="2" t="s">
        <v>949</v>
      </c>
      <c r="S155" s="11" t="str">
        <f>IF(ISNA(VLOOKUP(A155,Tbl_Exit_Formalities[Employee ID],1,FALSE)), "No", "Yes")</f>
        <v>No</v>
      </c>
      <c r="T155" s="22">
        <f ca="1">Tbl_Employee_Details[[#This Row],[Experience in SAREGAMA]]/((SUMIFS(Tbl_Employee_Details[Experience in SAREGAMA],Tbl_Employee_Details[Department],Tbl_Employee_Details[[#This Row],[Department]])))</f>
        <v>1.540144193209973E-3</v>
      </c>
    </row>
    <row r="156" spans="1:20" x14ac:dyDescent="0.3">
      <c r="A156" s="2">
        <v>103624</v>
      </c>
      <c r="B156" t="s">
        <v>485</v>
      </c>
      <c r="C156" t="s">
        <v>486</v>
      </c>
      <c r="D156" t="s">
        <v>950</v>
      </c>
      <c r="E156" s="3" t="s">
        <v>1731</v>
      </c>
      <c r="F156" s="4" t="s">
        <v>1732</v>
      </c>
      <c r="G156" t="s">
        <v>2498</v>
      </c>
      <c r="H156" t="s">
        <v>1733</v>
      </c>
      <c r="I156" s="12" t="s">
        <v>1734</v>
      </c>
      <c r="J156" s="12" t="s">
        <v>1735</v>
      </c>
      <c r="K156" t="s">
        <v>1066</v>
      </c>
      <c r="L156" t="str">
        <f>_xlfn.CONCAT(Tbl_Employee_Details[[#This Row],[First Name]],".",Tbl_Employee_Details[[#This Row],[Last Name]],"@saregama.com")</f>
        <v>Mariette.Mossom@saregama.com</v>
      </c>
      <c r="M156" s="6">
        <f ca="1">(TODAY() - 'Employee Onboarding'!E156)/365.25</f>
        <v>1.0704996577686516</v>
      </c>
      <c r="N156">
        <v>389297</v>
      </c>
      <c r="O156" s="13" t="s">
        <v>22</v>
      </c>
      <c r="P156" s="6">
        <f ca="1">YEARFRAC(Tbl_Employee_Details[[#This Row],[Date of Birth]],TODAY())</f>
        <v>20.844444444444445</v>
      </c>
      <c r="Q156" s="13" t="s">
        <v>1660</v>
      </c>
      <c r="R156" s="2" t="s">
        <v>965</v>
      </c>
      <c r="S156" s="11" t="str">
        <f>IF(ISNA(VLOOKUP(A156,Tbl_Exit_Formalities[Employee ID],1,FALSE)), "No", "Yes")</f>
        <v>No</v>
      </c>
      <c r="T156" s="22">
        <f ca="1">Tbl_Employee_Details[[#This Row],[Experience in SAREGAMA]]/((SUMIFS(Tbl_Employee_Details[Experience in SAREGAMA],Tbl_Employee_Details[Department],Tbl_Employee_Details[[#This Row],[Department]])))</f>
        <v>2.9091612538410601E-3</v>
      </c>
    </row>
    <row r="157" spans="1:20" x14ac:dyDescent="0.3">
      <c r="A157" s="2">
        <v>106787</v>
      </c>
      <c r="B157" t="s">
        <v>488</v>
      </c>
      <c r="C157" t="s">
        <v>489</v>
      </c>
      <c r="D157" t="s">
        <v>933</v>
      </c>
      <c r="E157" s="3" t="s">
        <v>1736</v>
      </c>
      <c r="F157" s="4" t="s">
        <v>1737</v>
      </c>
      <c r="G157" t="s">
        <v>2482</v>
      </c>
      <c r="H157" t="s">
        <v>1738</v>
      </c>
      <c r="I157" s="12" t="s">
        <v>1739</v>
      </c>
      <c r="J157" s="12" t="s">
        <v>1740</v>
      </c>
      <c r="K157" t="s">
        <v>989</v>
      </c>
      <c r="L157" t="str">
        <f>_xlfn.CONCAT(Tbl_Employee_Details[[#This Row],[First Name]],".",Tbl_Employee_Details[[#This Row],[Last Name]],"@saregama.com")</f>
        <v>Neal.Ford@saregama.com</v>
      </c>
      <c r="M157" s="6">
        <f ca="1">(TODAY() - 'Employee Onboarding'!E157)/365.25</f>
        <v>25.393566050650239</v>
      </c>
      <c r="N157">
        <v>93816</v>
      </c>
      <c r="O157" s="13" t="s">
        <v>46</v>
      </c>
      <c r="P157" s="6">
        <f ca="1">YEARFRAC(Tbl_Employee_Details[[#This Row],[Date of Birth]],TODAY())</f>
        <v>36.088888888888889</v>
      </c>
      <c r="Q157" s="13" t="s">
        <v>1660</v>
      </c>
      <c r="R157" s="2" t="s">
        <v>949</v>
      </c>
      <c r="S157" s="11" t="str">
        <f>IF(ISNA(VLOOKUP(A157,Tbl_Exit_Formalities[Employee ID],1,FALSE)), "No", "Yes")</f>
        <v>No</v>
      </c>
      <c r="T157" s="22">
        <f ca="1">Tbl_Employee_Details[[#This Row],[Experience in SAREGAMA]]/((SUMIFS(Tbl_Employee_Details[Experience in SAREGAMA],Tbl_Employee_Details[Department],Tbl_Employee_Details[[#This Row],[Department]])))</f>
        <v>6.9008876289963772E-2</v>
      </c>
    </row>
    <row r="158" spans="1:20" x14ac:dyDescent="0.3">
      <c r="A158" s="2">
        <v>106080</v>
      </c>
      <c r="B158" t="s">
        <v>491</v>
      </c>
      <c r="C158" t="s">
        <v>492</v>
      </c>
      <c r="D158" t="s">
        <v>950</v>
      </c>
      <c r="E158" s="3" t="s">
        <v>1741</v>
      </c>
      <c r="F158" s="4" t="s">
        <v>1742</v>
      </c>
      <c r="G158" t="s">
        <v>2495</v>
      </c>
      <c r="H158" t="s">
        <v>1743</v>
      </c>
      <c r="I158" s="12" t="s">
        <v>1744</v>
      </c>
      <c r="J158" s="12" t="s">
        <v>1745</v>
      </c>
      <c r="K158" t="s">
        <v>939</v>
      </c>
      <c r="L158" t="str">
        <f>_xlfn.CONCAT(Tbl_Employee_Details[[#This Row],[First Name]],".",Tbl_Employee_Details[[#This Row],[Last Name]],"@saregama.com")</f>
        <v>Selinda.Rosenfield@saregama.com</v>
      </c>
      <c r="M158" s="6">
        <f ca="1">(TODAY() - 'Employee Onboarding'!E158)/365.25</f>
        <v>4.1259411362080769</v>
      </c>
      <c r="N158">
        <v>796341</v>
      </c>
      <c r="O158" s="13" t="s">
        <v>63</v>
      </c>
      <c r="P158" s="6">
        <f ca="1">YEARFRAC(Tbl_Employee_Details[[#This Row],[Date of Birth]],TODAY())</f>
        <v>19.019444444444446</v>
      </c>
      <c r="Q158" s="13" t="s">
        <v>976</v>
      </c>
      <c r="R158" s="2" t="s">
        <v>977</v>
      </c>
      <c r="S158" s="11" t="str">
        <f>IF(ISNA(VLOOKUP(A158,Tbl_Exit_Formalities[Employee ID],1,FALSE)), "No", "Yes")</f>
        <v>No</v>
      </c>
      <c r="T158" s="22">
        <f ca="1">Tbl_Employee_Details[[#This Row],[Experience in SAREGAMA]]/((SUMIFS(Tbl_Employee_Details[Experience in SAREGAMA],Tbl_Employee_Details[Department],Tbl_Employee_Details[[#This Row],[Department]])))</f>
        <v>1.4091355369582496E-2</v>
      </c>
    </row>
    <row r="159" spans="1:20" x14ac:dyDescent="0.3">
      <c r="A159" s="2">
        <v>103488</v>
      </c>
      <c r="B159" t="s">
        <v>494</v>
      </c>
      <c r="C159" t="s">
        <v>495</v>
      </c>
      <c r="D159" t="s">
        <v>950</v>
      </c>
      <c r="E159" s="3" t="s">
        <v>1746</v>
      </c>
      <c r="F159" s="4" t="s">
        <v>1747</v>
      </c>
      <c r="G159" t="s">
        <v>2482</v>
      </c>
      <c r="H159" t="s">
        <v>1748</v>
      </c>
      <c r="I159" s="12" t="s">
        <v>1749</v>
      </c>
      <c r="J159" s="12" t="s">
        <v>1750</v>
      </c>
      <c r="K159" t="s">
        <v>1013</v>
      </c>
      <c r="L159" t="str">
        <f>_xlfn.CONCAT(Tbl_Employee_Details[[#This Row],[First Name]],".",Tbl_Employee_Details[[#This Row],[Last Name]],"@saregama.com")</f>
        <v>Brina.Huggett@saregama.com</v>
      </c>
      <c r="M159" s="6">
        <f ca="1">(TODAY() - 'Employee Onboarding'!E159)/365.25</f>
        <v>6.0752908966461332</v>
      </c>
      <c r="N159">
        <v>286563</v>
      </c>
      <c r="O159" s="13" t="s">
        <v>35</v>
      </c>
      <c r="P159" s="6">
        <f ca="1">YEARFRAC(Tbl_Employee_Details[[#This Row],[Date of Birth]],TODAY())</f>
        <v>26.672222222222221</v>
      </c>
      <c r="Q159" s="13" t="s">
        <v>1660</v>
      </c>
      <c r="R159" s="2" t="s">
        <v>958</v>
      </c>
      <c r="S159" s="11" t="str">
        <f>IF(ISNA(VLOOKUP(A159,Tbl_Exit_Formalities[Employee ID],1,FALSE)), "No", "Yes")</f>
        <v>No</v>
      </c>
      <c r="T159" s="22">
        <f ca="1">Tbl_Employee_Details[[#This Row],[Experience in SAREGAMA]]/((SUMIFS(Tbl_Employee_Details[Experience in SAREGAMA],Tbl_Employee_Details[Department],Tbl_Employee_Details[[#This Row],[Department]])))</f>
        <v>1.6510048138806428E-2</v>
      </c>
    </row>
    <row r="160" spans="1:20" x14ac:dyDescent="0.3">
      <c r="A160" s="2">
        <v>105861</v>
      </c>
      <c r="B160" t="s">
        <v>497</v>
      </c>
      <c r="C160" t="s">
        <v>498</v>
      </c>
      <c r="D160" t="s">
        <v>950</v>
      </c>
      <c r="E160" s="3" t="s">
        <v>1751</v>
      </c>
      <c r="F160" s="4" t="s">
        <v>1752</v>
      </c>
      <c r="G160" t="s">
        <v>2482</v>
      </c>
      <c r="H160" t="s">
        <v>1753</v>
      </c>
      <c r="I160" s="12" t="s">
        <v>1754</v>
      </c>
      <c r="J160" s="12" t="s">
        <v>1755</v>
      </c>
      <c r="K160" t="s">
        <v>939</v>
      </c>
      <c r="L160" t="str">
        <f>_xlfn.CONCAT(Tbl_Employee_Details[[#This Row],[First Name]],".",Tbl_Employee_Details[[#This Row],[Last Name]],"@saregama.com")</f>
        <v>Denyse.Ortmann@saregama.com</v>
      </c>
      <c r="M160" s="6">
        <f ca="1">(TODAY() - 'Employee Onboarding'!E160)/365.25</f>
        <v>18.381930184804929</v>
      </c>
      <c r="N160">
        <v>477975</v>
      </c>
      <c r="O160" s="13" t="s">
        <v>22</v>
      </c>
      <c r="P160" s="6">
        <f ca="1">YEARFRAC(Tbl_Employee_Details[[#This Row],[Date of Birth]],TODAY())</f>
        <v>44.897222222222226</v>
      </c>
      <c r="Q160" s="13" t="s">
        <v>1660</v>
      </c>
      <c r="R160" s="2" t="s">
        <v>977</v>
      </c>
      <c r="S160" s="11" t="str">
        <f>IF(ISNA(VLOOKUP(A160,Tbl_Exit_Formalities[Employee ID],1,FALSE)), "No", "Yes")</f>
        <v>Yes</v>
      </c>
      <c r="T160" s="22">
        <f ca="1">Tbl_Employee_Details[[#This Row],[Experience in SAREGAMA]]/((SUMIFS(Tbl_Employee_Details[Experience in SAREGAMA],Tbl_Employee_Details[Department],Tbl_Employee_Details[[#This Row],[Department]])))</f>
        <v>4.9954242092810436E-2</v>
      </c>
    </row>
    <row r="161" spans="1:20" x14ac:dyDescent="0.3">
      <c r="A161" s="2">
        <v>102351</v>
      </c>
      <c r="B161" t="s">
        <v>500</v>
      </c>
      <c r="C161" t="s">
        <v>501</v>
      </c>
      <c r="D161" t="s">
        <v>933</v>
      </c>
      <c r="E161" s="3" t="s">
        <v>1756</v>
      </c>
      <c r="F161" s="4" t="s">
        <v>1757</v>
      </c>
      <c r="G161" t="s">
        <v>2486</v>
      </c>
      <c r="H161" t="s">
        <v>1758</v>
      </c>
      <c r="I161" s="12" t="s">
        <v>1759</v>
      </c>
      <c r="J161" s="12" t="s">
        <v>1760</v>
      </c>
      <c r="K161" t="s">
        <v>947</v>
      </c>
      <c r="L161" t="str">
        <f>_xlfn.CONCAT(Tbl_Employee_Details[[#This Row],[First Name]],".",Tbl_Employee_Details[[#This Row],[Last Name]],"@saregama.com")</f>
        <v>Dylan.Arro@saregama.com</v>
      </c>
      <c r="M161" s="6">
        <f ca="1">(TODAY() - 'Employee Onboarding'!E161)/365.25</f>
        <v>10.798083504449007</v>
      </c>
      <c r="N161">
        <v>589356</v>
      </c>
      <c r="O161" s="13" t="s">
        <v>63</v>
      </c>
      <c r="P161" s="6">
        <f ca="1">YEARFRAC(Tbl_Employee_Details[[#This Row],[Date of Birth]],TODAY())</f>
        <v>24.458333333333332</v>
      </c>
      <c r="Q161" s="13" t="s">
        <v>990</v>
      </c>
      <c r="R161" s="2" t="s">
        <v>1002</v>
      </c>
      <c r="S161" s="11" t="str">
        <f>IF(ISNA(VLOOKUP(A161,Tbl_Exit_Formalities[Employee ID],1,FALSE)), "No", "Yes")</f>
        <v>No</v>
      </c>
      <c r="T161" s="22">
        <f ca="1">Tbl_Employee_Details[[#This Row],[Experience in SAREGAMA]]/((SUMIFS(Tbl_Employee_Details[Experience in SAREGAMA],Tbl_Employee_Details[Department],Tbl_Employee_Details[[#This Row],[Department]])))</f>
        <v>8.0044487199782428E-3</v>
      </c>
    </row>
    <row r="162" spans="1:20" x14ac:dyDescent="0.3">
      <c r="A162" s="2">
        <v>107697</v>
      </c>
      <c r="B162" t="s">
        <v>503</v>
      </c>
      <c r="C162" t="s">
        <v>504</v>
      </c>
      <c r="D162" t="s">
        <v>933</v>
      </c>
      <c r="E162" s="3" t="s">
        <v>1761</v>
      </c>
      <c r="F162" s="4" t="s">
        <v>1762</v>
      </c>
      <c r="G162" t="s">
        <v>2486</v>
      </c>
      <c r="H162" t="s">
        <v>1763</v>
      </c>
      <c r="I162" s="12" t="s">
        <v>1764</v>
      </c>
      <c r="J162" s="12" t="s">
        <v>1765</v>
      </c>
      <c r="K162" t="s">
        <v>947</v>
      </c>
      <c r="L162" t="str">
        <f>_xlfn.CONCAT(Tbl_Employee_Details[[#This Row],[First Name]],".",Tbl_Employee_Details[[#This Row],[Last Name]],"@saregama.com")</f>
        <v>Vite.Thys@saregama.com</v>
      </c>
      <c r="M162" s="6">
        <f ca="1">(TODAY() - 'Employee Onboarding'!E162)/365.25</f>
        <v>28.580424366872005</v>
      </c>
      <c r="N162">
        <v>111118</v>
      </c>
      <c r="O162" s="13" t="s">
        <v>42</v>
      </c>
      <c r="P162" s="6">
        <f ca="1">YEARFRAC(Tbl_Employee_Details[[#This Row],[Date of Birth]],TODAY())</f>
        <v>33.677777777777777</v>
      </c>
      <c r="Q162" s="13" t="s">
        <v>1660</v>
      </c>
      <c r="R162" s="2" t="s">
        <v>977</v>
      </c>
      <c r="S162" s="11" t="str">
        <f>IF(ISNA(VLOOKUP(A162,Tbl_Exit_Formalities[Employee ID],1,FALSE)), "No", "Yes")</f>
        <v>No</v>
      </c>
      <c r="T162" s="22">
        <f ca="1">Tbl_Employee_Details[[#This Row],[Experience in SAREGAMA]]/((SUMIFS(Tbl_Employee_Details[Experience in SAREGAMA],Tbl_Employee_Details[Department],Tbl_Employee_Details[[#This Row],[Department]])))</f>
        <v>7.7669397260477821E-2</v>
      </c>
    </row>
    <row r="163" spans="1:20" x14ac:dyDescent="0.3">
      <c r="A163" s="2">
        <v>107658</v>
      </c>
      <c r="B163" t="s">
        <v>506</v>
      </c>
      <c r="C163" t="s">
        <v>507</v>
      </c>
      <c r="D163" t="s">
        <v>950</v>
      </c>
      <c r="E163" s="3" t="s">
        <v>1766</v>
      </c>
      <c r="F163" s="4" t="s">
        <v>1767</v>
      </c>
      <c r="G163" t="s">
        <v>2514</v>
      </c>
      <c r="H163" t="s">
        <v>1768</v>
      </c>
      <c r="I163" s="12" t="s">
        <v>1769</v>
      </c>
      <c r="J163" s="12" t="s">
        <v>1770</v>
      </c>
      <c r="K163" t="s">
        <v>989</v>
      </c>
      <c r="L163" t="str">
        <f>_xlfn.CONCAT(Tbl_Employee_Details[[#This Row],[First Name]],".",Tbl_Employee_Details[[#This Row],[Last Name]],"@saregama.com")</f>
        <v>Noell.Leverett@saregama.com</v>
      </c>
      <c r="M163" s="6">
        <f ca="1">(TODAY() - 'Employee Onboarding'!E163)/365.25</f>
        <v>6.0752908966461332</v>
      </c>
      <c r="N163">
        <v>522389</v>
      </c>
      <c r="O163" s="13" t="s">
        <v>63</v>
      </c>
      <c r="P163" s="6">
        <f ca="1">YEARFRAC(Tbl_Employee_Details[[#This Row],[Date of Birth]],TODAY())</f>
        <v>19.041666666666668</v>
      </c>
      <c r="Q163" s="13" t="s">
        <v>957</v>
      </c>
      <c r="R163" s="2" t="s">
        <v>1019</v>
      </c>
      <c r="S163" s="11" t="str">
        <f>IF(ISNA(VLOOKUP(A163,Tbl_Exit_Formalities[Employee ID],1,FALSE)), "No", "Yes")</f>
        <v>No</v>
      </c>
      <c r="T163" s="22">
        <f ca="1">Tbl_Employee_Details[[#This Row],[Experience in SAREGAMA]]/((SUMIFS(Tbl_Employee_Details[Experience in SAREGAMA],Tbl_Employee_Details[Department],Tbl_Employee_Details[[#This Row],[Department]])))</f>
        <v>4.0408638962741744E-2</v>
      </c>
    </row>
    <row r="164" spans="1:20" x14ac:dyDescent="0.3">
      <c r="A164" s="2">
        <v>105503</v>
      </c>
      <c r="B164" t="s">
        <v>509</v>
      </c>
      <c r="C164" t="s">
        <v>510</v>
      </c>
      <c r="D164" t="s">
        <v>950</v>
      </c>
      <c r="E164" s="3" t="s">
        <v>1771</v>
      </c>
      <c r="F164" s="4" t="s">
        <v>1772</v>
      </c>
      <c r="G164" t="s">
        <v>2493</v>
      </c>
      <c r="H164" t="s">
        <v>1773</v>
      </c>
      <c r="I164" s="12" t="s">
        <v>1774</v>
      </c>
      <c r="J164" s="12" t="s">
        <v>1775</v>
      </c>
      <c r="K164" t="s">
        <v>983</v>
      </c>
      <c r="L164" t="str">
        <f>_xlfn.CONCAT(Tbl_Employee_Details[[#This Row],[First Name]],".",Tbl_Employee_Details[[#This Row],[Last Name]],"@saregama.com")</f>
        <v>Debora.Ham@saregama.com</v>
      </c>
      <c r="M164" s="6">
        <f ca="1">(TODAY() - 'Employee Onboarding'!E164)/365.25</f>
        <v>41.29226557152635</v>
      </c>
      <c r="N164">
        <v>641377</v>
      </c>
      <c r="O164" s="13" t="s">
        <v>129</v>
      </c>
      <c r="P164" s="6">
        <f ca="1">YEARFRAC(Tbl_Employee_Details[[#This Row],[Date of Birth]],TODAY())</f>
        <v>41.597222222222221</v>
      </c>
      <c r="Q164" s="13" t="s">
        <v>1262</v>
      </c>
      <c r="R164" s="2" t="s">
        <v>977</v>
      </c>
      <c r="S164" s="11" t="str">
        <f>IF(ISNA(VLOOKUP(A164,Tbl_Exit_Formalities[Employee ID],1,FALSE)), "No", "Yes")</f>
        <v>No</v>
      </c>
      <c r="T164" s="22">
        <f ca="1">Tbl_Employee_Details[[#This Row],[Experience in SAREGAMA]]/((SUMIFS(Tbl_Employee_Details[Experience in SAREGAMA],Tbl_Employee_Details[Department],Tbl_Employee_Details[[#This Row],[Department]])))</f>
        <v>0.11764797653592937</v>
      </c>
    </row>
    <row r="165" spans="1:20" x14ac:dyDescent="0.3">
      <c r="A165" s="2">
        <v>107728</v>
      </c>
      <c r="B165" t="s">
        <v>512</v>
      </c>
      <c r="C165" t="s">
        <v>513</v>
      </c>
      <c r="D165" t="s">
        <v>933</v>
      </c>
      <c r="E165" s="3" t="s">
        <v>1776</v>
      </c>
      <c r="F165" s="4" t="s">
        <v>1777</v>
      </c>
      <c r="G165" t="s">
        <v>2540</v>
      </c>
      <c r="H165" t="s">
        <v>1778</v>
      </c>
      <c r="I165" s="12" t="s">
        <v>1779</v>
      </c>
      <c r="J165" s="12" t="s">
        <v>1780</v>
      </c>
      <c r="K165" t="s">
        <v>956</v>
      </c>
      <c r="L165" t="str">
        <f>_xlfn.CONCAT(Tbl_Employee_Details[[#This Row],[First Name]],".",Tbl_Employee_Details[[#This Row],[Last Name]],"@saregama.com")</f>
        <v>Obadias.Kennewell@saregama.com</v>
      </c>
      <c r="M165" s="6">
        <f ca="1">(TODAY() - 'Employee Onboarding'!E165)/365.25</f>
        <v>14.455852156057494</v>
      </c>
      <c r="N165">
        <v>734276</v>
      </c>
      <c r="O165" s="13" t="s">
        <v>63</v>
      </c>
      <c r="P165" s="6">
        <f ca="1">YEARFRAC(Tbl_Employee_Details[[#This Row],[Date of Birth]],TODAY())</f>
        <v>30.769444444444446</v>
      </c>
      <c r="Q165" s="13" t="s">
        <v>964</v>
      </c>
      <c r="R165" s="2" t="s">
        <v>941</v>
      </c>
      <c r="S165" s="11" t="str">
        <f>IF(ISNA(VLOOKUP(A165,Tbl_Exit_Formalities[Employee ID],1,FALSE)), "No", "Yes")</f>
        <v>No</v>
      </c>
      <c r="T165" s="22">
        <f ca="1">Tbl_Employee_Details[[#This Row],[Experience in SAREGAMA]]/((SUMIFS(Tbl_Employee_Details[Experience in SAREGAMA],Tbl_Employee_Details[Department],Tbl_Employee_Details[[#This Row],[Department]])))</f>
        <v>4.0878263293177654E-2</v>
      </c>
    </row>
    <row r="166" spans="1:20" x14ac:dyDescent="0.3">
      <c r="A166" s="2">
        <v>104974</v>
      </c>
      <c r="B166" t="s">
        <v>515</v>
      </c>
      <c r="C166" t="s">
        <v>516</v>
      </c>
      <c r="D166" t="s">
        <v>950</v>
      </c>
      <c r="E166" s="3" t="s">
        <v>1781</v>
      </c>
      <c r="F166" s="4" t="s">
        <v>1782</v>
      </c>
      <c r="G166" t="s">
        <v>2495</v>
      </c>
      <c r="H166" t="s">
        <v>1783</v>
      </c>
      <c r="I166" s="12" t="s">
        <v>1784</v>
      </c>
      <c r="J166" s="12" t="s">
        <v>1785</v>
      </c>
      <c r="K166" t="s">
        <v>983</v>
      </c>
      <c r="L166" t="str">
        <f>_xlfn.CONCAT(Tbl_Employee_Details[[#This Row],[First Name]],".",Tbl_Employee_Details[[#This Row],[Last Name]],"@saregama.com")</f>
        <v>Zarah.Dyett@saregama.com</v>
      </c>
      <c r="M166" s="6">
        <f ca="1">(TODAY() - 'Employee Onboarding'!E166)/365.25</f>
        <v>7.698836413415469</v>
      </c>
      <c r="N166">
        <v>1031312</v>
      </c>
      <c r="O166" s="13" t="s">
        <v>51</v>
      </c>
      <c r="P166" s="6">
        <f ca="1">YEARFRAC(Tbl_Employee_Details[[#This Row],[Date of Birth]],TODAY())</f>
        <v>33.427777777777777</v>
      </c>
      <c r="Q166" s="13" t="s">
        <v>1559</v>
      </c>
      <c r="R166" s="2" t="s">
        <v>949</v>
      </c>
      <c r="S166" s="11" t="str">
        <f>IF(ISNA(VLOOKUP(A166,Tbl_Exit_Formalities[Employee ID],1,FALSE)), "No", "Yes")</f>
        <v>Yes</v>
      </c>
      <c r="T166" s="22">
        <f ca="1">Tbl_Employee_Details[[#This Row],[Experience in SAREGAMA]]/((SUMIFS(Tbl_Employee_Details[Experience in SAREGAMA],Tbl_Employee_Details[Department],Tbl_Employee_Details[[#This Row],[Department]])))</f>
        <v>1.6251423155388346E-2</v>
      </c>
    </row>
    <row r="167" spans="1:20" x14ac:dyDescent="0.3">
      <c r="A167" s="2">
        <v>103736</v>
      </c>
      <c r="B167" t="s">
        <v>518</v>
      </c>
      <c r="C167" t="s">
        <v>519</v>
      </c>
      <c r="D167" t="s">
        <v>933</v>
      </c>
      <c r="E167" s="3" t="s">
        <v>1786</v>
      </c>
      <c r="F167" s="4" t="s">
        <v>1787</v>
      </c>
      <c r="G167" t="s">
        <v>2541</v>
      </c>
      <c r="H167" t="s">
        <v>1788</v>
      </c>
      <c r="I167" s="12" t="s">
        <v>1789</v>
      </c>
      <c r="J167" s="12" t="s">
        <v>1790</v>
      </c>
      <c r="K167" t="s">
        <v>1013</v>
      </c>
      <c r="L167" t="str">
        <f>_xlfn.CONCAT(Tbl_Employee_Details[[#This Row],[First Name]],".",Tbl_Employee_Details[[#This Row],[Last Name]],"@saregama.com")</f>
        <v>Peirce.Glassman@saregama.com</v>
      </c>
      <c r="M167" s="6">
        <f ca="1">(TODAY() - 'Employee Onboarding'!E167)/365.25</f>
        <v>8.9500342231348391</v>
      </c>
      <c r="N167">
        <v>406058</v>
      </c>
      <c r="O167" s="13" t="s">
        <v>22</v>
      </c>
      <c r="P167" s="6">
        <f ca="1">YEARFRAC(Tbl_Employee_Details[[#This Row],[Date of Birth]],TODAY())</f>
        <v>37.830555555555556</v>
      </c>
      <c r="Q167" s="13" t="s">
        <v>1660</v>
      </c>
      <c r="R167" s="2" t="s">
        <v>1002</v>
      </c>
      <c r="S167" s="11" t="str">
        <f>IF(ISNA(VLOOKUP(A167,Tbl_Exit_Formalities[Employee ID],1,FALSE)), "No", "Yes")</f>
        <v>No</v>
      </c>
      <c r="T167" s="22">
        <f ca="1">Tbl_Employee_Details[[#This Row],[Experience in SAREGAMA]]/((SUMIFS(Tbl_Employee_Details[Experience in SAREGAMA],Tbl_Employee_Details[Department],Tbl_Employee_Details[[#This Row],[Department]])))</f>
        <v>2.4322373756538174E-2</v>
      </c>
    </row>
    <row r="168" spans="1:20" x14ac:dyDescent="0.3">
      <c r="A168" s="2">
        <v>104098</v>
      </c>
      <c r="B168" t="s">
        <v>521</v>
      </c>
      <c r="C168" t="s">
        <v>522</v>
      </c>
      <c r="D168" t="s">
        <v>950</v>
      </c>
      <c r="E168" s="3" t="s">
        <v>1791</v>
      </c>
      <c r="F168" s="4" t="s">
        <v>1792</v>
      </c>
      <c r="G168" t="s">
        <v>2524</v>
      </c>
      <c r="H168" t="s">
        <v>1793</v>
      </c>
      <c r="I168" s="12" t="s">
        <v>1794</v>
      </c>
      <c r="J168" s="12" t="s">
        <v>1795</v>
      </c>
      <c r="K168" t="s">
        <v>956</v>
      </c>
      <c r="L168" t="str">
        <f>_xlfn.CONCAT(Tbl_Employee_Details[[#This Row],[First Name]],".",Tbl_Employee_Details[[#This Row],[Last Name]],"@saregama.com")</f>
        <v>Merrill.Giacaponi@saregama.com</v>
      </c>
      <c r="M168" s="6">
        <f ca="1">(TODAY() - 'Employee Onboarding'!E168)/365.25</f>
        <v>13.212867898699521</v>
      </c>
      <c r="N168">
        <v>587873</v>
      </c>
      <c r="O168" s="13" t="s">
        <v>63</v>
      </c>
      <c r="P168" s="6">
        <f ca="1">YEARFRAC(Tbl_Employee_Details[[#This Row],[Date of Birth]],TODAY())</f>
        <v>32.62222222222222</v>
      </c>
      <c r="Q168" s="13" t="s">
        <v>1262</v>
      </c>
      <c r="R168" s="2" t="s">
        <v>958</v>
      </c>
      <c r="S168" s="11" t="str">
        <f>IF(ISNA(VLOOKUP(A168,Tbl_Exit_Formalities[Employee ID],1,FALSE)), "No", "Yes")</f>
        <v>No</v>
      </c>
      <c r="T168" s="22">
        <f ca="1">Tbl_Employee_Details[[#This Row],[Experience in SAREGAMA]]/((SUMIFS(Tbl_Employee_Details[Experience in SAREGAMA],Tbl_Employee_Details[Department],Tbl_Employee_Details[[#This Row],[Department]])))</f>
        <v>3.7645480358201512E-2</v>
      </c>
    </row>
    <row r="169" spans="1:20" x14ac:dyDescent="0.3">
      <c r="A169" s="2">
        <v>107343</v>
      </c>
      <c r="B169" t="s">
        <v>524</v>
      </c>
      <c r="C169" t="s">
        <v>525</v>
      </c>
      <c r="D169" t="s">
        <v>933</v>
      </c>
      <c r="E169" s="3" t="s">
        <v>1796</v>
      </c>
      <c r="F169" s="4" t="s">
        <v>1797</v>
      </c>
      <c r="G169" t="s">
        <v>2499</v>
      </c>
      <c r="H169" t="s">
        <v>1798</v>
      </c>
      <c r="I169" s="12" t="s">
        <v>1799</v>
      </c>
      <c r="J169" s="12" t="s">
        <v>1800</v>
      </c>
      <c r="K169" t="s">
        <v>983</v>
      </c>
      <c r="L169" t="str">
        <f>_xlfn.CONCAT(Tbl_Employee_Details[[#This Row],[First Name]],".",Tbl_Employee_Details[[#This Row],[Last Name]],"@saregama.com")</f>
        <v>Batholomew.Hillan@saregama.com</v>
      </c>
      <c r="M169" s="6">
        <f ca="1">(TODAY() - 'Employee Onboarding'!E169)/365.25</f>
        <v>9.9575633127994525</v>
      </c>
      <c r="N169">
        <v>199705</v>
      </c>
      <c r="O169" s="13" t="s">
        <v>13</v>
      </c>
      <c r="P169" s="6">
        <f ca="1">YEARFRAC(Tbl_Employee_Details[[#This Row],[Date of Birth]],TODAY())</f>
        <v>25.425000000000001</v>
      </c>
      <c r="Q169" s="13" t="s">
        <v>1660</v>
      </c>
      <c r="R169" s="2" t="s">
        <v>1002</v>
      </c>
      <c r="S169" s="11" t="str">
        <f>IF(ISNA(VLOOKUP(A169,Tbl_Exit_Formalities[Employee ID],1,FALSE)), "No", "Yes")</f>
        <v>No</v>
      </c>
      <c r="T169" s="22">
        <f ca="1">Tbl_Employee_Details[[#This Row],[Experience in SAREGAMA]]/((SUMIFS(Tbl_Employee_Details[Experience in SAREGAMA],Tbl_Employee_Details[Department],Tbl_Employee_Details[[#This Row],[Department]])))</f>
        <v>2.7060407877800348E-2</v>
      </c>
    </row>
    <row r="170" spans="1:20" x14ac:dyDescent="0.3">
      <c r="A170" s="2">
        <v>105647</v>
      </c>
      <c r="B170" t="s">
        <v>527</v>
      </c>
      <c r="C170" t="s">
        <v>528</v>
      </c>
      <c r="D170" t="s">
        <v>950</v>
      </c>
      <c r="E170" s="3" t="s">
        <v>1801</v>
      </c>
      <c r="F170" s="4" t="s">
        <v>1802</v>
      </c>
      <c r="G170" t="s">
        <v>2542</v>
      </c>
      <c r="H170" t="s">
        <v>1803</v>
      </c>
      <c r="I170" s="12" t="s">
        <v>1804</v>
      </c>
      <c r="J170" s="12" t="s">
        <v>1805</v>
      </c>
      <c r="K170" t="s">
        <v>956</v>
      </c>
      <c r="L170" t="str">
        <f>_xlfn.CONCAT(Tbl_Employee_Details[[#This Row],[First Name]],".",Tbl_Employee_Details[[#This Row],[Last Name]],"@saregama.com")</f>
        <v>Calypso.McGeneay@saregama.com</v>
      </c>
      <c r="M170" s="6">
        <f ca="1">(TODAY() - 'Employee Onboarding'!E170)/365.25</f>
        <v>28.599589322381931</v>
      </c>
      <c r="N170">
        <v>626301</v>
      </c>
      <c r="O170" s="13" t="s">
        <v>63</v>
      </c>
      <c r="P170" s="6">
        <f ca="1">YEARFRAC(Tbl_Employee_Details[[#This Row],[Date of Birth]],TODAY())</f>
        <v>32.136111111111113</v>
      </c>
      <c r="Q170" s="13" t="s">
        <v>1262</v>
      </c>
      <c r="R170" s="2" t="s">
        <v>977</v>
      </c>
      <c r="S170" s="11" t="str">
        <f>IF(ISNA(VLOOKUP(A170,Tbl_Exit_Formalities[Employee ID],1,FALSE)), "No", "Yes")</f>
        <v>No</v>
      </c>
      <c r="T170" s="22">
        <f ca="1">Tbl_Employee_Details[[#This Row],[Experience in SAREGAMA]]/((SUMIFS(Tbl_Employee_Details[Experience in SAREGAMA],Tbl_Employee_Details[Department],Tbl_Employee_Details[[#This Row],[Department]])))</f>
        <v>8.1484601703641316E-2</v>
      </c>
    </row>
    <row r="171" spans="1:20" x14ac:dyDescent="0.3">
      <c r="A171" s="2">
        <v>103216</v>
      </c>
      <c r="B171" t="s">
        <v>530</v>
      </c>
      <c r="C171" t="s">
        <v>531</v>
      </c>
      <c r="D171" t="s">
        <v>950</v>
      </c>
      <c r="E171" s="3" t="s">
        <v>1806</v>
      </c>
      <c r="F171" s="4" t="s">
        <v>1807</v>
      </c>
      <c r="G171" t="s">
        <v>2486</v>
      </c>
      <c r="H171" t="s">
        <v>1808</v>
      </c>
      <c r="I171" s="12" t="s">
        <v>1809</v>
      </c>
      <c r="J171" s="12" t="s">
        <v>1810</v>
      </c>
      <c r="K171" t="s">
        <v>939</v>
      </c>
      <c r="L171" t="str">
        <f>_xlfn.CONCAT(Tbl_Employee_Details[[#This Row],[First Name]],".",Tbl_Employee_Details[[#This Row],[Last Name]],"@saregama.com")</f>
        <v>Rhodia.Eakeley@saregama.com</v>
      </c>
      <c r="M171" s="6">
        <f ca="1">(TODAY() - 'Employee Onboarding'!E171)/365.25</f>
        <v>20.468172484599588</v>
      </c>
      <c r="N171">
        <v>487426</v>
      </c>
      <c r="O171" s="13" t="s">
        <v>22</v>
      </c>
      <c r="P171" s="6">
        <f ca="1">YEARFRAC(Tbl_Employee_Details[[#This Row],[Date of Birth]],TODAY())</f>
        <v>39.638888888888886</v>
      </c>
      <c r="Q171" s="13" t="s">
        <v>1660</v>
      </c>
      <c r="R171" s="2" t="s">
        <v>941</v>
      </c>
      <c r="S171" s="11" t="str">
        <f>IF(ISNA(VLOOKUP(A171,Tbl_Exit_Formalities[Employee ID],1,FALSE)), "No", "Yes")</f>
        <v>No</v>
      </c>
      <c r="T171" s="22">
        <f ca="1">Tbl_Employee_Details[[#This Row],[Experience in SAREGAMA]]/((SUMIFS(Tbl_Employee_Details[Experience in SAREGAMA],Tbl_Employee_Details[Department],Tbl_Employee_Details[[#This Row],[Department]])))</f>
        <v>5.5623758398250039E-2</v>
      </c>
    </row>
    <row r="172" spans="1:20" x14ac:dyDescent="0.3">
      <c r="A172" s="2">
        <v>104836</v>
      </c>
      <c r="B172" t="s">
        <v>533</v>
      </c>
      <c r="C172" t="s">
        <v>534</v>
      </c>
      <c r="D172" t="s">
        <v>950</v>
      </c>
      <c r="E172" s="3" t="s">
        <v>1811</v>
      </c>
      <c r="F172" s="4" t="s">
        <v>1812</v>
      </c>
      <c r="G172" t="s">
        <v>2482</v>
      </c>
      <c r="H172" t="s">
        <v>1813</v>
      </c>
      <c r="I172" s="12" t="s">
        <v>1814</v>
      </c>
      <c r="J172" s="12" t="s">
        <v>1815</v>
      </c>
      <c r="K172" t="s">
        <v>956</v>
      </c>
      <c r="L172" t="str">
        <f>_xlfn.CONCAT(Tbl_Employee_Details[[#This Row],[First Name]],".",Tbl_Employee_Details[[#This Row],[Last Name]],"@saregama.com")</f>
        <v>Malvina.Alvey@saregama.com</v>
      </c>
      <c r="M172" s="6">
        <f ca="1">(TODAY() - 'Employee Onboarding'!E172)/365.25</f>
        <v>16.8186173853525</v>
      </c>
      <c r="N172">
        <v>765127</v>
      </c>
      <c r="O172" s="13" t="s">
        <v>63</v>
      </c>
      <c r="P172" s="6">
        <f ca="1">YEARFRAC(Tbl_Employee_Details[[#This Row],[Date of Birth]],TODAY())</f>
        <v>27.663888888888888</v>
      </c>
      <c r="Q172" s="13" t="s">
        <v>1413</v>
      </c>
      <c r="R172" s="2" t="s">
        <v>977</v>
      </c>
      <c r="S172" s="11" t="str">
        <f>IF(ISNA(VLOOKUP(A172,Tbl_Exit_Formalities[Employee ID],1,FALSE)), "No", "Yes")</f>
        <v>No</v>
      </c>
      <c r="T172" s="22">
        <f ca="1">Tbl_Employee_Details[[#This Row],[Experience in SAREGAMA]]/((SUMIFS(Tbl_Employee_Details[Experience in SAREGAMA],Tbl_Employee_Details[Department],Tbl_Employee_Details[[#This Row],[Department]])))</f>
        <v>6.1070903089831804E-2</v>
      </c>
    </row>
    <row r="173" spans="1:20" x14ac:dyDescent="0.3">
      <c r="A173" s="2">
        <v>106398</v>
      </c>
      <c r="B173" t="s">
        <v>536</v>
      </c>
      <c r="C173" t="s">
        <v>537</v>
      </c>
      <c r="D173" t="s">
        <v>933</v>
      </c>
      <c r="E173" s="3" t="s">
        <v>1816</v>
      </c>
      <c r="F173" s="4" t="s">
        <v>1817</v>
      </c>
      <c r="G173" t="s">
        <v>2500</v>
      </c>
      <c r="H173" t="s">
        <v>1818</v>
      </c>
      <c r="I173" s="12" t="s">
        <v>1819</v>
      </c>
      <c r="J173" s="12" t="s">
        <v>1820</v>
      </c>
      <c r="K173" t="s">
        <v>989</v>
      </c>
      <c r="L173" t="str">
        <f>_xlfn.CONCAT(Tbl_Employee_Details[[#This Row],[First Name]],".",Tbl_Employee_Details[[#This Row],[Last Name]],"@saregama.com")</f>
        <v>Skipton.Matushevich@saregama.com</v>
      </c>
      <c r="M173" s="6">
        <f ca="1">(TODAY() - 'Employee Onboarding'!E173)/365.25</f>
        <v>15.94798083504449</v>
      </c>
      <c r="N173">
        <v>581210</v>
      </c>
      <c r="O173" s="13" t="s">
        <v>63</v>
      </c>
      <c r="P173" s="6">
        <f ca="1">YEARFRAC(Tbl_Employee_Details[[#This Row],[Date of Birth]],TODAY())</f>
        <v>26.105555555555554</v>
      </c>
      <c r="Q173" s="13" t="s">
        <v>990</v>
      </c>
      <c r="R173" s="2" t="s">
        <v>958</v>
      </c>
      <c r="S173" s="11" t="str">
        <f>IF(ISNA(VLOOKUP(A173,Tbl_Exit_Formalities[Employee ID],1,FALSE)), "No", "Yes")</f>
        <v>No</v>
      </c>
      <c r="T173" s="22">
        <f ca="1">Tbl_Employee_Details[[#This Row],[Experience in SAREGAMA]]/((SUMIFS(Tbl_Employee_Details[Experience in SAREGAMA],Tbl_Employee_Details[Department],Tbl_Employee_Details[[#This Row],[Department]])))</f>
        <v>1.1821986256053059E-2</v>
      </c>
    </row>
    <row r="174" spans="1:20" x14ac:dyDescent="0.3">
      <c r="A174" s="2">
        <v>102467</v>
      </c>
      <c r="B174" t="s">
        <v>67</v>
      </c>
      <c r="C174" t="s">
        <v>539</v>
      </c>
      <c r="D174" t="s">
        <v>950</v>
      </c>
      <c r="E174" s="3" t="s">
        <v>1821</v>
      </c>
      <c r="F174" s="4" t="s">
        <v>1822</v>
      </c>
      <c r="G174" t="s">
        <v>2543</v>
      </c>
      <c r="H174" t="s">
        <v>1823</v>
      </c>
      <c r="I174" s="12" t="s">
        <v>1824</v>
      </c>
      <c r="J174" s="12" t="s">
        <v>1825</v>
      </c>
      <c r="K174" t="s">
        <v>939</v>
      </c>
      <c r="L174" t="str">
        <f>_xlfn.CONCAT(Tbl_Employee_Details[[#This Row],[First Name]],".",Tbl_Employee_Details[[#This Row],[Last Name]],"@saregama.com")</f>
        <v>Sharity.Iglesias@saregama.com</v>
      </c>
      <c r="M174" s="6">
        <f ca="1">(TODAY() - 'Employee Onboarding'!E174)/365.25</f>
        <v>20.999315537303218</v>
      </c>
      <c r="N174">
        <v>156560</v>
      </c>
      <c r="O174" s="13" t="s">
        <v>113</v>
      </c>
      <c r="P174" s="6">
        <f ca="1">YEARFRAC(Tbl_Employee_Details[[#This Row],[Date of Birth]],TODAY())</f>
        <v>23.277777777777779</v>
      </c>
      <c r="Q174" s="13" t="s">
        <v>1660</v>
      </c>
      <c r="R174" s="2" t="s">
        <v>941</v>
      </c>
      <c r="S174" s="11" t="str">
        <f>IF(ISNA(VLOOKUP(A174,Tbl_Exit_Formalities[Employee ID],1,FALSE)), "No", "Yes")</f>
        <v>No</v>
      </c>
      <c r="T174" s="22">
        <f ca="1">Tbl_Employee_Details[[#This Row],[Experience in SAREGAMA]]/((SUMIFS(Tbl_Employee_Details[Experience in SAREGAMA],Tbl_Employee_Details[Department],Tbl_Employee_Details[[#This Row],[Department]])))</f>
        <v>5.7067178560002388E-2</v>
      </c>
    </row>
    <row r="175" spans="1:20" x14ac:dyDescent="0.3">
      <c r="A175" s="2">
        <v>104411</v>
      </c>
      <c r="B175" t="s">
        <v>541</v>
      </c>
      <c r="C175" t="s">
        <v>542</v>
      </c>
      <c r="D175" t="s">
        <v>933</v>
      </c>
      <c r="E175" s="3" t="s">
        <v>1826</v>
      </c>
      <c r="F175" s="4" t="s">
        <v>1827</v>
      </c>
      <c r="G175" t="s">
        <v>2482</v>
      </c>
      <c r="H175" t="s">
        <v>1828</v>
      </c>
      <c r="I175" s="12" t="s">
        <v>1829</v>
      </c>
      <c r="J175" s="12" t="s">
        <v>1830</v>
      </c>
      <c r="K175" t="s">
        <v>1066</v>
      </c>
      <c r="L175" t="str">
        <f>_xlfn.CONCAT(Tbl_Employee_Details[[#This Row],[First Name]],".",Tbl_Employee_Details[[#This Row],[Last Name]],"@saregama.com")</f>
        <v>Saw.Jellicorse@saregama.com</v>
      </c>
      <c r="M175" s="6">
        <f ca="1">(TODAY() - 'Employee Onboarding'!E175)/365.25</f>
        <v>21.828884325804243</v>
      </c>
      <c r="N175">
        <v>155432</v>
      </c>
      <c r="O175" s="13" t="s">
        <v>113</v>
      </c>
      <c r="P175" s="6">
        <f ca="1">YEARFRAC(Tbl_Employee_Details[[#This Row],[Date of Birth]],TODAY())</f>
        <v>22.044444444444444</v>
      </c>
      <c r="Q175" s="13" t="s">
        <v>1660</v>
      </c>
      <c r="R175" s="2" t="s">
        <v>977</v>
      </c>
      <c r="S175" s="11" t="str">
        <f>IF(ISNA(VLOOKUP(A175,Tbl_Exit_Formalities[Employee ID],1,FALSE)), "No", "Yes")</f>
        <v>Yes</v>
      </c>
      <c r="T175" s="22">
        <f ca="1">Tbl_Employee_Details[[#This Row],[Experience in SAREGAMA]]/((SUMIFS(Tbl_Employee_Details[Experience in SAREGAMA],Tbl_Employee_Details[Department],Tbl_Employee_Details[[#This Row],[Department]])))</f>
        <v>5.9321592523976396E-2</v>
      </c>
    </row>
    <row r="176" spans="1:20" x14ac:dyDescent="0.3">
      <c r="A176" s="2">
        <v>107191</v>
      </c>
      <c r="B176" t="s">
        <v>544</v>
      </c>
      <c r="C176" t="s">
        <v>545</v>
      </c>
      <c r="D176" t="s">
        <v>950</v>
      </c>
      <c r="E176" s="3" t="s">
        <v>1831</v>
      </c>
      <c r="F176" s="4" t="s">
        <v>1832</v>
      </c>
      <c r="G176" t="s">
        <v>2563</v>
      </c>
      <c r="H176" t="s">
        <v>1833</v>
      </c>
      <c r="I176" s="12" t="s">
        <v>1834</v>
      </c>
      <c r="J176" s="12" t="s">
        <v>1835</v>
      </c>
      <c r="K176" t="s">
        <v>989</v>
      </c>
      <c r="L176" t="str">
        <f>_xlfn.CONCAT(Tbl_Employee_Details[[#This Row],[First Name]],".",Tbl_Employee_Details[[#This Row],[Last Name]],"@saregama.com")</f>
        <v>Marietta.Lodin@saregama.com</v>
      </c>
      <c r="M176" s="6">
        <f ca="1">(TODAY() - 'Employee Onboarding'!E176)/365.25</f>
        <v>9.0924024640657084</v>
      </c>
      <c r="N176">
        <v>543618</v>
      </c>
      <c r="O176" s="13" t="s">
        <v>63</v>
      </c>
      <c r="P176" s="6">
        <f ca="1">YEARFRAC(Tbl_Employee_Details[[#This Row],[Date of Birth]],TODAY())</f>
        <v>22.972222222222221</v>
      </c>
      <c r="Q176" s="13" t="s">
        <v>1836</v>
      </c>
      <c r="R176" s="2" t="s">
        <v>965</v>
      </c>
      <c r="S176" s="11" t="str">
        <f>IF(ISNA(VLOOKUP(A176,Tbl_Exit_Formalities[Employee ID],1,FALSE)), "No", "Yes")</f>
        <v>No</v>
      </c>
      <c r="T176" s="22">
        <f ca="1">Tbl_Employee_Details[[#This Row],[Experience in SAREGAMA]]/((SUMIFS(Tbl_Employee_Details[Experience in SAREGAMA],Tbl_Employee_Details[Department],Tbl_Employee_Details[[#This Row],[Department]])))</f>
        <v>0.41491754122938534</v>
      </c>
    </row>
    <row r="177" spans="1:20" x14ac:dyDescent="0.3">
      <c r="A177" s="2">
        <v>105655</v>
      </c>
      <c r="B177" t="s">
        <v>547</v>
      </c>
      <c r="C177" t="s">
        <v>548</v>
      </c>
      <c r="D177" t="s">
        <v>950</v>
      </c>
      <c r="E177" s="3" t="s">
        <v>1837</v>
      </c>
      <c r="F177" s="4" t="s">
        <v>1838</v>
      </c>
      <c r="G177" t="s">
        <v>2523</v>
      </c>
      <c r="H177" t="s">
        <v>1839</v>
      </c>
      <c r="I177" s="12" t="s">
        <v>1840</v>
      </c>
      <c r="J177" s="12" t="s">
        <v>1841</v>
      </c>
      <c r="K177" t="s">
        <v>956</v>
      </c>
      <c r="L177" t="str">
        <f>_xlfn.CONCAT(Tbl_Employee_Details[[#This Row],[First Name]],".",Tbl_Employee_Details[[#This Row],[Last Name]],"@saregama.com")</f>
        <v>Carmine.Tebald@saregama.com</v>
      </c>
      <c r="M177" s="6">
        <f ca="1">(TODAY() - 'Employee Onboarding'!E177)/365.25</f>
        <v>7.8357289527720742</v>
      </c>
      <c r="N177">
        <v>1186973</v>
      </c>
      <c r="O177" s="13" t="s">
        <v>51</v>
      </c>
      <c r="P177" s="6">
        <f ca="1">YEARFRAC(Tbl_Employee_Details[[#This Row],[Date of Birth]],TODAY())</f>
        <v>32.494444444444447</v>
      </c>
      <c r="Q177" s="13" t="s">
        <v>1262</v>
      </c>
      <c r="R177" s="2" t="s">
        <v>977</v>
      </c>
      <c r="S177" s="11" t="str">
        <f>IF(ISNA(VLOOKUP(A177,Tbl_Exit_Formalities[Employee ID],1,FALSE)), "No", "Yes")</f>
        <v>No</v>
      </c>
      <c r="T177" s="22">
        <f ca="1">Tbl_Employee_Details[[#This Row],[Experience in SAREGAMA]]/((SUMIFS(Tbl_Employee_Details[Experience in SAREGAMA],Tbl_Employee_Details[Department],Tbl_Employee_Details[[#This Row],[Department]])))</f>
        <v>2.2325189553496213E-2</v>
      </c>
    </row>
    <row r="178" spans="1:20" x14ac:dyDescent="0.3">
      <c r="A178" s="2">
        <v>106256</v>
      </c>
      <c r="B178" t="s">
        <v>550</v>
      </c>
      <c r="C178" t="s">
        <v>551</v>
      </c>
      <c r="D178" t="s">
        <v>950</v>
      </c>
      <c r="E178" s="3" t="s">
        <v>1842</v>
      </c>
      <c r="F178" s="4" t="s">
        <v>1843</v>
      </c>
      <c r="G178" t="s">
        <v>2544</v>
      </c>
      <c r="H178" t="s">
        <v>1844</v>
      </c>
      <c r="I178" s="12" t="s">
        <v>1845</v>
      </c>
      <c r="J178" s="12" t="s">
        <v>1846</v>
      </c>
      <c r="K178" t="s">
        <v>939</v>
      </c>
      <c r="L178" t="str">
        <f>_xlfn.CONCAT(Tbl_Employee_Details[[#This Row],[First Name]],".",Tbl_Employee_Details[[#This Row],[Last Name]],"@saregama.com")</f>
        <v>Jerrilee.Albisser@saregama.com</v>
      </c>
      <c r="M178" s="6">
        <f ca="1">(TODAY() - 'Employee Onboarding'!E178)/365.25</f>
        <v>13.806981519507186</v>
      </c>
      <c r="N178">
        <v>497009</v>
      </c>
      <c r="O178" s="13" t="s">
        <v>22</v>
      </c>
      <c r="P178" s="6">
        <f ca="1">YEARFRAC(Tbl_Employee_Details[[#This Row],[Date of Birth]],TODAY())</f>
        <v>27.036111111111111</v>
      </c>
      <c r="Q178" s="13" t="s">
        <v>1660</v>
      </c>
      <c r="R178" s="2" t="s">
        <v>996</v>
      </c>
      <c r="S178" s="11" t="str">
        <f>IF(ISNA(VLOOKUP(A178,Tbl_Exit_Formalities[Employee ID],1,FALSE)), "No", "Yes")</f>
        <v>No</v>
      </c>
      <c r="T178" s="22">
        <f ca="1">Tbl_Employee_Details[[#This Row],[Experience in SAREGAMA]]/((SUMIFS(Tbl_Employee_Details[Experience in SAREGAMA],Tbl_Employee_Details[Department],Tbl_Employee_Details[[#This Row],[Department]])))</f>
        <v>3.7521483895448765E-2</v>
      </c>
    </row>
    <row r="179" spans="1:20" x14ac:dyDescent="0.3">
      <c r="A179" s="2">
        <v>104090</v>
      </c>
      <c r="B179" t="s">
        <v>553</v>
      </c>
      <c r="C179" t="s">
        <v>554</v>
      </c>
      <c r="D179" t="s">
        <v>950</v>
      </c>
      <c r="E179" s="3" t="s">
        <v>1847</v>
      </c>
      <c r="F179" s="4" t="s">
        <v>1848</v>
      </c>
      <c r="G179" t="s">
        <v>2527</v>
      </c>
      <c r="H179" t="s">
        <v>1849</v>
      </c>
      <c r="I179" s="12" t="s">
        <v>1850</v>
      </c>
      <c r="J179" s="12" t="s">
        <v>1851</v>
      </c>
      <c r="K179" t="s">
        <v>939</v>
      </c>
      <c r="L179" t="str">
        <f>_xlfn.CONCAT(Tbl_Employee_Details[[#This Row],[First Name]],".",Tbl_Employee_Details[[#This Row],[Last Name]],"@saregama.com")</f>
        <v>Marcelia.Layhe@saregama.com</v>
      </c>
      <c r="M179" s="6">
        <f ca="1">(TODAY() - 'Employee Onboarding'!E179)/365.25</f>
        <v>41.30595482546201</v>
      </c>
      <c r="N179">
        <v>128100</v>
      </c>
      <c r="O179" s="13" t="s">
        <v>42</v>
      </c>
      <c r="P179" s="6">
        <f ca="1">YEARFRAC(Tbl_Employee_Details[[#This Row],[Date of Birth]],TODAY())</f>
        <v>42.586111111111109</v>
      </c>
      <c r="Q179" s="13" t="s">
        <v>1660</v>
      </c>
      <c r="R179" s="2" t="s">
        <v>996</v>
      </c>
      <c r="S179" s="11" t="str">
        <f>IF(ISNA(VLOOKUP(A179,Tbl_Exit_Formalities[Employee ID],1,FALSE)), "No", "Yes")</f>
        <v>No</v>
      </c>
      <c r="T179" s="22">
        <f ca="1">Tbl_Employee_Details[[#This Row],[Experience in SAREGAMA]]/((SUMIFS(Tbl_Employee_Details[Experience in SAREGAMA],Tbl_Employee_Details[Department],Tbl_Employee_Details[[#This Row],[Department]])))</f>
        <v>0.11225195866163702</v>
      </c>
    </row>
    <row r="180" spans="1:20" x14ac:dyDescent="0.3">
      <c r="A180" s="2">
        <v>103177</v>
      </c>
      <c r="B180" t="s">
        <v>556</v>
      </c>
      <c r="C180" t="s">
        <v>557</v>
      </c>
      <c r="D180" t="s">
        <v>950</v>
      </c>
      <c r="E180" s="3" t="s">
        <v>1852</v>
      </c>
      <c r="F180" s="4" t="s">
        <v>1853</v>
      </c>
      <c r="G180" t="s">
        <v>2521</v>
      </c>
      <c r="H180" t="s">
        <v>1854</v>
      </c>
      <c r="I180" s="12" t="s">
        <v>1855</v>
      </c>
      <c r="J180" s="12" t="s">
        <v>1856</v>
      </c>
      <c r="K180" t="s">
        <v>983</v>
      </c>
      <c r="L180" t="str">
        <f>_xlfn.CONCAT(Tbl_Employee_Details[[#This Row],[First Name]],".",Tbl_Employee_Details[[#This Row],[Last Name]],"@saregama.com")</f>
        <v>Sarena.Dollin@saregama.com</v>
      </c>
      <c r="M180" s="6">
        <f ca="1">(TODAY() - 'Employee Onboarding'!E180)/365.25</f>
        <v>30.091718001368925</v>
      </c>
      <c r="N180">
        <v>517460</v>
      </c>
      <c r="O180" s="13" t="s">
        <v>63</v>
      </c>
      <c r="P180" s="6">
        <f ca="1">YEARFRAC(Tbl_Employee_Details[[#This Row],[Date of Birth]],TODAY())</f>
        <v>43.272222222222226</v>
      </c>
      <c r="Q180" s="13" t="s">
        <v>948</v>
      </c>
      <c r="R180" s="2" t="s">
        <v>949</v>
      </c>
      <c r="S180" s="11" t="str">
        <f>IF(ISNA(VLOOKUP(A180,Tbl_Exit_Formalities[Employee ID],1,FALSE)), "No", "Yes")</f>
        <v>No</v>
      </c>
      <c r="T180" s="22">
        <f ca="1">Tbl_Employee_Details[[#This Row],[Experience in SAREGAMA]]/((SUMIFS(Tbl_Employee_Details[Experience in SAREGAMA],Tbl_Employee_Details[Department],Tbl_Employee_Details[[#This Row],[Department]])))</f>
        <v>7.7363271626662913E-2</v>
      </c>
    </row>
    <row r="181" spans="1:20" x14ac:dyDescent="0.3">
      <c r="A181" s="2">
        <v>104401</v>
      </c>
      <c r="B181" t="s">
        <v>559</v>
      </c>
      <c r="C181" t="s">
        <v>560</v>
      </c>
      <c r="D181" t="s">
        <v>933</v>
      </c>
      <c r="E181" s="3" t="s">
        <v>1857</v>
      </c>
      <c r="F181" s="4" t="s">
        <v>1858</v>
      </c>
      <c r="G181" t="s">
        <v>2545</v>
      </c>
      <c r="H181" t="s">
        <v>1859</v>
      </c>
      <c r="I181" s="12" t="s">
        <v>1860</v>
      </c>
      <c r="J181" s="12" t="s">
        <v>1861</v>
      </c>
      <c r="K181" t="s">
        <v>947</v>
      </c>
      <c r="L181" t="str">
        <f>_xlfn.CONCAT(Tbl_Employee_Details[[#This Row],[First Name]],".",Tbl_Employee_Details[[#This Row],[Last Name]],"@saregama.com")</f>
        <v>Avery.Giovanardi@saregama.com</v>
      </c>
      <c r="M181" s="6">
        <f ca="1">(TODAY() - 'Employee Onboarding'!E181)/365.25</f>
        <v>10.565366187542779</v>
      </c>
      <c r="N181">
        <v>82201</v>
      </c>
      <c r="O181" s="13" t="s">
        <v>46</v>
      </c>
      <c r="P181" s="6">
        <f ca="1">YEARFRAC(Tbl_Employee_Details[[#This Row],[Date of Birth]],TODAY())</f>
        <v>19.375</v>
      </c>
      <c r="Q181" s="13" t="s">
        <v>1660</v>
      </c>
      <c r="R181" s="2" t="s">
        <v>941</v>
      </c>
      <c r="S181" s="11" t="str">
        <f>IF(ISNA(VLOOKUP(A181,Tbl_Exit_Formalities[Employee ID],1,FALSE)), "No", "Yes")</f>
        <v>No</v>
      </c>
      <c r="T181" s="22">
        <f ca="1">Tbl_Employee_Details[[#This Row],[Experience in SAREGAMA]]/((SUMIFS(Tbl_Employee_Details[Experience in SAREGAMA],Tbl_Employee_Details[Department],Tbl_Employee_Details[[#This Row],[Department]])))</f>
        <v>2.8712156722692204E-2</v>
      </c>
    </row>
    <row r="182" spans="1:20" x14ac:dyDescent="0.3">
      <c r="A182" s="2">
        <v>102261</v>
      </c>
      <c r="B182" t="s">
        <v>562</v>
      </c>
      <c r="C182" t="s">
        <v>563</v>
      </c>
      <c r="D182" t="s">
        <v>950</v>
      </c>
      <c r="E182" s="3" t="s">
        <v>1862</v>
      </c>
      <c r="F182" s="4" t="s">
        <v>1863</v>
      </c>
      <c r="G182" t="s">
        <v>2532</v>
      </c>
      <c r="H182" t="s">
        <v>1864</v>
      </c>
      <c r="I182" s="12" t="s">
        <v>1865</v>
      </c>
      <c r="J182" s="12" t="s">
        <v>1866</v>
      </c>
      <c r="K182" t="s">
        <v>947</v>
      </c>
      <c r="L182" t="str">
        <f>_xlfn.CONCAT(Tbl_Employee_Details[[#This Row],[First Name]],".",Tbl_Employee_Details[[#This Row],[Last Name]],"@saregama.com")</f>
        <v>Marj.Batterbee@saregama.com</v>
      </c>
      <c r="M182" s="6">
        <f ca="1">(TODAY() - 'Employee Onboarding'!E182)/365.25</f>
        <v>36.090349075975361</v>
      </c>
      <c r="N182">
        <v>113987</v>
      </c>
      <c r="O182" s="13" t="s">
        <v>42</v>
      </c>
      <c r="P182" s="6">
        <f ca="1">YEARFRAC(Tbl_Employee_Details[[#This Row],[Date of Birth]],TODAY())</f>
        <v>38.475000000000001</v>
      </c>
      <c r="Q182" s="13" t="s">
        <v>1660</v>
      </c>
      <c r="R182" s="2" t="s">
        <v>1002</v>
      </c>
      <c r="S182" s="11" t="str">
        <f>IF(ISNA(VLOOKUP(A182,Tbl_Exit_Formalities[Employee ID],1,FALSE)), "No", "Yes")</f>
        <v>No</v>
      </c>
      <c r="T182" s="22">
        <f ca="1">Tbl_Employee_Details[[#This Row],[Experience in SAREGAMA]]/((SUMIFS(Tbl_Employee_Details[Experience in SAREGAMA],Tbl_Employee_Details[Department],Tbl_Employee_Details[[#This Row],[Department]])))</f>
        <v>9.8078167898037999E-2</v>
      </c>
    </row>
    <row r="183" spans="1:20" x14ac:dyDescent="0.3">
      <c r="A183" s="2">
        <v>102979</v>
      </c>
      <c r="B183" t="s">
        <v>565</v>
      </c>
      <c r="C183" t="s">
        <v>566</v>
      </c>
      <c r="D183" t="s">
        <v>933</v>
      </c>
      <c r="E183" s="3" t="s">
        <v>1867</v>
      </c>
      <c r="F183" s="4" t="s">
        <v>1868</v>
      </c>
      <c r="G183" t="s">
        <v>2515</v>
      </c>
      <c r="H183" t="s">
        <v>1869</v>
      </c>
      <c r="I183" s="12" t="s">
        <v>1870</v>
      </c>
      <c r="J183" s="12" t="s">
        <v>1871</v>
      </c>
      <c r="K183" t="s">
        <v>939</v>
      </c>
      <c r="L183" t="str">
        <f>_xlfn.CONCAT(Tbl_Employee_Details[[#This Row],[First Name]],".",Tbl_Employee_Details[[#This Row],[Last Name]],"@saregama.com")</f>
        <v>Bastian.Hughland@saregama.com</v>
      </c>
      <c r="M183" s="6">
        <f ca="1">(TODAY() - 'Employee Onboarding'!E183)/365.25</f>
        <v>3.2854209445585217E-2</v>
      </c>
      <c r="N183">
        <v>1876000</v>
      </c>
      <c r="O183" s="13" t="s">
        <v>568</v>
      </c>
      <c r="P183" s="6">
        <f ca="1">YEARFRAC(Tbl_Employee_Details[[#This Row],[Date of Birth]],TODAY())</f>
        <v>44.822222222222223</v>
      </c>
      <c r="Q183" s="13" t="s">
        <v>976</v>
      </c>
      <c r="R183" s="2" t="s">
        <v>1002</v>
      </c>
      <c r="S183" s="11" t="str">
        <f>IF(ISNA(VLOOKUP(A183,Tbl_Exit_Formalities[Employee ID],1,FALSE)), "No", "Yes")</f>
        <v>No</v>
      </c>
      <c r="T183" s="22">
        <f ca="1">Tbl_Employee_Details[[#This Row],[Experience in SAREGAMA]]/((SUMIFS(Tbl_Employee_Details[Experience in SAREGAMA],Tbl_Employee_Details[Department],Tbl_Employee_Details[[#This Row],[Department]])))</f>
        <v>1.1220720931319837E-4</v>
      </c>
    </row>
    <row r="184" spans="1:20" x14ac:dyDescent="0.3">
      <c r="A184" s="2">
        <v>107385</v>
      </c>
      <c r="B184" t="s">
        <v>569</v>
      </c>
      <c r="C184" t="s">
        <v>570</v>
      </c>
      <c r="D184" t="s">
        <v>950</v>
      </c>
      <c r="E184" s="3" t="s">
        <v>1872</v>
      </c>
      <c r="F184" s="4" t="s">
        <v>1873</v>
      </c>
      <c r="G184" t="s">
        <v>2482</v>
      </c>
      <c r="H184" t="s">
        <v>1874</v>
      </c>
      <c r="I184" s="12" t="s">
        <v>1875</v>
      </c>
      <c r="J184" s="12" t="s">
        <v>1876</v>
      </c>
      <c r="K184" t="s">
        <v>989</v>
      </c>
      <c r="L184" t="str">
        <f>_xlfn.CONCAT(Tbl_Employee_Details[[#This Row],[First Name]],".",Tbl_Employee_Details[[#This Row],[Last Name]],"@saregama.com")</f>
        <v>Gretel.Kemwall@saregama.com</v>
      </c>
      <c r="M184" s="6">
        <f ca="1">(TODAY() - 'Employee Onboarding'!E184)/365.25</f>
        <v>9.4045174537987677</v>
      </c>
      <c r="N184">
        <v>522725</v>
      </c>
      <c r="O184" s="13" t="s">
        <v>63</v>
      </c>
      <c r="P184" s="6">
        <f ca="1">YEARFRAC(Tbl_Employee_Details[[#This Row],[Date of Birth]],TODAY())</f>
        <v>19.902777777777779</v>
      </c>
      <c r="Q184" s="13" t="s">
        <v>1660</v>
      </c>
      <c r="R184" s="2" t="s">
        <v>1002</v>
      </c>
      <c r="S184" s="11" t="str">
        <f>IF(ISNA(VLOOKUP(A184,Tbl_Exit_Formalities[Employee ID],1,FALSE)), "No", "Yes")</f>
        <v>Yes</v>
      </c>
      <c r="T184" s="22">
        <f ca="1">Tbl_Employee_Details[[#This Row],[Experience in SAREGAMA]]/((SUMIFS(Tbl_Employee_Details[Experience in SAREGAMA],Tbl_Employee_Details[Department],Tbl_Employee_Details[[#This Row],[Department]])))</f>
        <v>2.5557465235151001E-2</v>
      </c>
    </row>
    <row r="185" spans="1:20" x14ac:dyDescent="0.3">
      <c r="A185" s="2">
        <v>107852</v>
      </c>
      <c r="B185" t="s">
        <v>572</v>
      </c>
      <c r="C185" t="s">
        <v>573</v>
      </c>
      <c r="D185" t="s">
        <v>950</v>
      </c>
      <c r="E185" s="3" t="s">
        <v>1877</v>
      </c>
      <c r="F185" s="4" t="s">
        <v>1878</v>
      </c>
      <c r="G185" t="s">
        <v>2482</v>
      </c>
      <c r="H185" t="s">
        <v>1879</v>
      </c>
      <c r="I185" s="12" t="s">
        <v>1880</v>
      </c>
      <c r="J185" s="12" t="s">
        <v>1881</v>
      </c>
      <c r="K185" t="s">
        <v>1013</v>
      </c>
      <c r="L185" t="str">
        <f>_xlfn.CONCAT(Tbl_Employee_Details[[#This Row],[First Name]],".",Tbl_Employee_Details[[#This Row],[Last Name]],"@saregama.com")</f>
        <v>Sandra.Delagua@saregama.com</v>
      </c>
      <c r="M185" s="6">
        <f ca="1">(TODAY() - 'Employee Onboarding'!E185)/365.25</f>
        <v>3.9041752224503763</v>
      </c>
      <c r="N185">
        <v>120621</v>
      </c>
      <c r="O185" s="13" t="s">
        <v>13</v>
      </c>
      <c r="P185" s="6">
        <f ca="1">YEARFRAC(Tbl_Employee_Details[[#This Row],[Date of Birth]],TODAY())</f>
        <v>20.544444444444444</v>
      </c>
      <c r="Q185" s="13" t="s">
        <v>1660</v>
      </c>
      <c r="R185" s="2" t="s">
        <v>1002</v>
      </c>
      <c r="S185" s="11" t="str">
        <f>IF(ISNA(VLOOKUP(A185,Tbl_Exit_Formalities[Employee ID],1,FALSE)), "No", "Yes")</f>
        <v>No</v>
      </c>
      <c r="T185" s="22">
        <f ca="1">Tbl_Employee_Details[[#This Row],[Experience in SAREGAMA]]/((SUMIFS(Tbl_Employee_Details[Experience in SAREGAMA],Tbl_Employee_Details[Department],Tbl_Employee_Details[[#This Row],[Department]])))</f>
        <v>1.0609882219890926E-2</v>
      </c>
    </row>
    <row r="186" spans="1:20" x14ac:dyDescent="0.3">
      <c r="A186" s="2">
        <v>103059</v>
      </c>
      <c r="B186" t="s">
        <v>575</v>
      </c>
      <c r="C186" t="s">
        <v>576</v>
      </c>
      <c r="D186" t="s">
        <v>950</v>
      </c>
      <c r="E186" s="3" t="s">
        <v>1882</v>
      </c>
      <c r="F186" s="4" t="s">
        <v>1883</v>
      </c>
      <c r="G186" t="s">
        <v>2539</v>
      </c>
      <c r="H186" t="s">
        <v>1884</v>
      </c>
      <c r="I186" s="12" t="s">
        <v>1885</v>
      </c>
      <c r="J186" s="12" t="s">
        <v>1886</v>
      </c>
      <c r="K186" t="s">
        <v>1066</v>
      </c>
      <c r="L186" t="str">
        <f>_xlfn.CONCAT(Tbl_Employee_Details[[#This Row],[First Name]],".",Tbl_Employee_Details[[#This Row],[Last Name]],"@saregama.com")</f>
        <v>Gabbie.Joselson@saregama.com</v>
      </c>
      <c r="M186" s="6">
        <f ca="1">(TODAY() - 'Employee Onboarding'!E186)/365.25</f>
        <v>10.417522245037645</v>
      </c>
      <c r="N186">
        <v>1019250</v>
      </c>
      <c r="O186" s="13" t="s">
        <v>51</v>
      </c>
      <c r="P186" s="6">
        <f ca="1">YEARFRAC(Tbl_Employee_Details[[#This Row],[Date of Birth]],TODAY())</f>
        <v>44.677777777777777</v>
      </c>
      <c r="Q186" s="13" t="s">
        <v>990</v>
      </c>
      <c r="R186" s="2" t="s">
        <v>941</v>
      </c>
      <c r="S186" s="11" t="str">
        <f>IF(ISNA(VLOOKUP(A186,Tbl_Exit_Formalities[Employee ID],1,FALSE)), "No", "Yes")</f>
        <v>No</v>
      </c>
      <c r="T186" s="22">
        <f ca="1">Tbl_Employee_Details[[#This Row],[Experience in SAREGAMA]]/((SUMIFS(Tbl_Employee_Details[Experience in SAREGAMA],Tbl_Employee_Details[Department],Tbl_Employee_Details[[#This Row],[Department]])))</f>
        <v>7.7223446702629848E-3</v>
      </c>
    </row>
    <row r="187" spans="1:20" x14ac:dyDescent="0.3">
      <c r="A187" s="2">
        <v>105387</v>
      </c>
      <c r="B187" t="s">
        <v>578</v>
      </c>
      <c r="C187" t="s">
        <v>579</v>
      </c>
      <c r="D187" t="s">
        <v>950</v>
      </c>
      <c r="E187" s="3" t="s">
        <v>1887</v>
      </c>
      <c r="F187" s="4" t="s">
        <v>1888</v>
      </c>
      <c r="G187" t="s">
        <v>2490</v>
      </c>
      <c r="H187" t="s">
        <v>1889</v>
      </c>
      <c r="I187" s="12" t="s">
        <v>1890</v>
      </c>
      <c r="J187" s="12" t="s">
        <v>1891</v>
      </c>
      <c r="K187" t="s">
        <v>947</v>
      </c>
      <c r="L187" t="str">
        <f>_xlfn.CONCAT(Tbl_Employee_Details[[#This Row],[First Name]],".",Tbl_Employee_Details[[#This Row],[Last Name]],"@saregama.com")</f>
        <v>Bertha.Biskupski@saregama.com</v>
      </c>
      <c r="M187" s="6">
        <f ca="1">(TODAY() - 'Employee Onboarding'!E187)/365.25</f>
        <v>14.751540041067761</v>
      </c>
      <c r="N187">
        <v>282917</v>
      </c>
      <c r="O187" s="13" t="s">
        <v>35</v>
      </c>
      <c r="P187" s="6">
        <f ca="1">YEARFRAC(Tbl_Employee_Details[[#This Row],[Date of Birth]],TODAY())</f>
        <v>43.052777777777777</v>
      </c>
      <c r="Q187" s="13" t="s">
        <v>1660</v>
      </c>
      <c r="R187" s="2" t="s">
        <v>977</v>
      </c>
      <c r="S187" s="11" t="str">
        <f>IF(ISNA(VLOOKUP(A187,Tbl_Exit_Formalities[Employee ID],1,FALSE)), "No", "Yes")</f>
        <v>No</v>
      </c>
      <c r="T187" s="22">
        <f ca="1">Tbl_Employee_Details[[#This Row],[Experience in SAREGAMA]]/((SUMIFS(Tbl_Employee_Details[Experience in SAREGAMA],Tbl_Employee_Details[Department],Tbl_Employee_Details[[#This Row],[Department]])))</f>
        <v>4.0088390884132054E-2</v>
      </c>
    </row>
    <row r="188" spans="1:20" x14ac:dyDescent="0.3">
      <c r="A188" s="2">
        <v>105119</v>
      </c>
      <c r="B188" t="s">
        <v>581</v>
      </c>
      <c r="C188" t="s">
        <v>582</v>
      </c>
      <c r="D188" t="s">
        <v>950</v>
      </c>
      <c r="E188" s="3" t="s">
        <v>1892</v>
      </c>
      <c r="F188" s="4" t="s">
        <v>1893</v>
      </c>
      <c r="G188" t="s">
        <v>2484</v>
      </c>
      <c r="H188" t="s">
        <v>1894</v>
      </c>
      <c r="I188" s="12" t="s">
        <v>1895</v>
      </c>
      <c r="J188" s="12" t="s">
        <v>1896</v>
      </c>
      <c r="K188" t="s">
        <v>956</v>
      </c>
      <c r="L188" t="str">
        <f>_xlfn.CONCAT(Tbl_Employee_Details[[#This Row],[First Name]],".",Tbl_Employee_Details[[#This Row],[Last Name]],"@saregama.com")</f>
        <v>Aloysia.Doolan@saregama.com</v>
      </c>
      <c r="M188" s="6">
        <f ca="1">(TODAY() - 'Employee Onboarding'!E188)/365.25</f>
        <v>2.6201232032854209</v>
      </c>
      <c r="N188">
        <v>311664</v>
      </c>
      <c r="O188" s="13" t="s">
        <v>35</v>
      </c>
      <c r="P188" s="6">
        <f ca="1">YEARFRAC(Tbl_Employee_Details[[#This Row],[Date of Birth]],TODAY())</f>
        <v>42.772222222222226</v>
      </c>
      <c r="Q188" s="13" t="s">
        <v>1660</v>
      </c>
      <c r="R188" s="2" t="s">
        <v>1002</v>
      </c>
      <c r="S188" s="11" t="str">
        <f>IF(ISNA(VLOOKUP(A188,Tbl_Exit_Formalities[Employee ID],1,FALSE)), "No", "Yes")</f>
        <v>No</v>
      </c>
      <c r="T188" s="22">
        <f ca="1">Tbl_Employee_Details[[#This Row],[Experience in SAREGAMA]]/((SUMIFS(Tbl_Employee_Details[Experience in SAREGAMA],Tbl_Employee_Details[Department],Tbl_Employee_Details[[#This Row],[Department]])))</f>
        <v>7.1203767773040782E-3</v>
      </c>
    </row>
    <row r="189" spans="1:20" x14ac:dyDescent="0.3">
      <c r="A189" s="2">
        <v>102630</v>
      </c>
      <c r="B189" t="s">
        <v>584</v>
      </c>
      <c r="C189" t="s">
        <v>585</v>
      </c>
      <c r="D189" t="s">
        <v>950</v>
      </c>
      <c r="E189" s="3" t="s">
        <v>1897</v>
      </c>
      <c r="F189" s="4" t="s">
        <v>1898</v>
      </c>
      <c r="G189" t="s">
        <v>2563</v>
      </c>
      <c r="H189" t="s">
        <v>1899</v>
      </c>
      <c r="I189" s="12" t="s">
        <v>1900</v>
      </c>
      <c r="J189" s="12" t="s">
        <v>1901</v>
      </c>
      <c r="K189" t="s">
        <v>947</v>
      </c>
      <c r="L189" t="str">
        <f>_xlfn.CONCAT(Tbl_Employee_Details[[#This Row],[First Name]],".",Tbl_Employee_Details[[#This Row],[Last Name]],"@saregama.com")</f>
        <v>Cecelia.Ludvigsen@saregama.com</v>
      </c>
      <c r="M189" s="6">
        <f ca="1">(TODAY() - 'Employee Onboarding'!E189)/365.25</f>
        <v>30.631074606433948</v>
      </c>
      <c r="N189">
        <v>599087</v>
      </c>
      <c r="O189" s="13" t="s">
        <v>63</v>
      </c>
      <c r="P189" s="6">
        <f ca="1">YEARFRAC(Tbl_Employee_Details[[#This Row],[Date of Birth]],TODAY())</f>
        <v>38.052777777777777</v>
      </c>
      <c r="Q189" s="13" t="s">
        <v>948</v>
      </c>
      <c r="R189" s="2" t="s">
        <v>941</v>
      </c>
      <c r="S189" s="11" t="str">
        <f>IF(ISNA(VLOOKUP(A189,Tbl_Exit_Formalities[Employee ID],1,FALSE)), "No", "Yes")</f>
        <v>No</v>
      </c>
      <c r="T189" s="22">
        <f ca="1">Tbl_Employee_Details[[#This Row],[Experience in SAREGAMA]]/((SUMIFS(Tbl_Employee_Details[Experience in SAREGAMA],Tbl_Employee_Details[Department],Tbl_Employee_Details[[#This Row],[Department]])))</f>
        <v>7.8749912015203774E-2</v>
      </c>
    </row>
    <row r="190" spans="1:20" x14ac:dyDescent="0.3">
      <c r="A190" s="2">
        <v>103146</v>
      </c>
      <c r="B190" t="s">
        <v>587</v>
      </c>
      <c r="C190" t="s">
        <v>588</v>
      </c>
      <c r="D190" t="s">
        <v>950</v>
      </c>
      <c r="E190" s="3" t="s">
        <v>1902</v>
      </c>
      <c r="F190" s="4" t="s">
        <v>1903</v>
      </c>
      <c r="G190" t="s">
        <v>2498</v>
      </c>
      <c r="H190" t="s">
        <v>1904</v>
      </c>
      <c r="I190" s="12" t="s">
        <v>1905</v>
      </c>
      <c r="J190" s="12" t="s">
        <v>1906</v>
      </c>
      <c r="K190" t="s">
        <v>983</v>
      </c>
      <c r="L190" t="str">
        <f>_xlfn.CONCAT(Tbl_Employee_Details[[#This Row],[First Name]],".",Tbl_Employee_Details[[#This Row],[Last Name]],"@saregama.com")</f>
        <v>Yvette.Rearie@saregama.com</v>
      </c>
      <c r="M190" s="6">
        <f ca="1">(TODAY() - 'Employee Onboarding'!E190)/365.25</f>
        <v>23.477070499657767</v>
      </c>
      <c r="N190">
        <v>376920</v>
      </c>
      <c r="O190" s="13" t="s">
        <v>85</v>
      </c>
      <c r="P190" s="6">
        <f ca="1">YEARFRAC(Tbl_Employee_Details[[#This Row],[Date of Birth]],TODAY())</f>
        <v>29.622222222222224</v>
      </c>
      <c r="Q190" s="13" t="s">
        <v>990</v>
      </c>
      <c r="R190" s="2" t="s">
        <v>958</v>
      </c>
      <c r="S190" s="11" t="str">
        <f>IF(ISNA(VLOOKUP(A190,Tbl_Exit_Formalities[Employee ID],1,FALSE)), "No", "Yes")</f>
        <v>No</v>
      </c>
      <c r="T190" s="22">
        <f ca="1">Tbl_Employee_Details[[#This Row],[Experience in SAREGAMA]]/((SUMIFS(Tbl_Employee_Details[Experience in SAREGAMA],Tbl_Employee_Details[Department],Tbl_Employee_Details[[#This Row],[Department]])))</f>
        <v>1.7403181484232613E-2</v>
      </c>
    </row>
    <row r="191" spans="1:20" x14ac:dyDescent="0.3">
      <c r="A191" s="2">
        <v>107783</v>
      </c>
      <c r="B191" t="s">
        <v>590</v>
      </c>
      <c r="C191" t="s">
        <v>591</v>
      </c>
      <c r="D191" t="s">
        <v>950</v>
      </c>
      <c r="E191" s="3" t="s">
        <v>1907</v>
      </c>
      <c r="F191" s="4" t="s">
        <v>1908</v>
      </c>
      <c r="G191" t="s">
        <v>2508</v>
      </c>
      <c r="H191" t="s">
        <v>1909</v>
      </c>
      <c r="I191" s="12" t="s">
        <v>1910</v>
      </c>
      <c r="J191" s="12" t="s">
        <v>1911</v>
      </c>
      <c r="K191" t="s">
        <v>947</v>
      </c>
      <c r="L191" t="str">
        <f>_xlfn.CONCAT(Tbl_Employee_Details[[#This Row],[First Name]],".",Tbl_Employee_Details[[#This Row],[Last Name]],"@saregama.com")</f>
        <v>Jemmy.Chazelas@saregama.com</v>
      </c>
      <c r="M191" s="6">
        <f ca="1">(TODAY() - 'Employee Onboarding'!E191)/365.25</f>
        <v>4.4353182751540041</v>
      </c>
      <c r="N191">
        <v>1160515</v>
      </c>
      <c r="O191" s="13" t="s">
        <v>51</v>
      </c>
      <c r="P191" s="6">
        <f ca="1">YEARFRAC(Tbl_Employee_Details[[#This Row],[Date of Birth]],TODAY())</f>
        <v>37.219444444444441</v>
      </c>
      <c r="Q191" s="13" t="s">
        <v>976</v>
      </c>
      <c r="R191" s="2" t="s">
        <v>965</v>
      </c>
      <c r="S191" s="11" t="str">
        <f>IF(ISNA(VLOOKUP(A191,Tbl_Exit_Formalities[Employee ID],1,FALSE)), "No", "Yes")</f>
        <v>No</v>
      </c>
      <c r="T191" s="22">
        <f ca="1">Tbl_Employee_Details[[#This Row],[Experience in SAREGAMA]]/((SUMIFS(Tbl_Employee_Details[Experience in SAREGAMA],Tbl_Employee_Details[Department],Tbl_Employee_Details[[#This Row],[Department]])))</f>
        <v>1.514797325728178E-2</v>
      </c>
    </row>
    <row r="192" spans="1:20" x14ac:dyDescent="0.3">
      <c r="A192" s="2">
        <v>103497</v>
      </c>
      <c r="B192" t="s">
        <v>593</v>
      </c>
      <c r="C192" t="s">
        <v>594</v>
      </c>
      <c r="D192" t="s">
        <v>933</v>
      </c>
      <c r="E192" s="3" t="s">
        <v>1912</v>
      </c>
      <c r="F192" s="4" t="s">
        <v>1913</v>
      </c>
      <c r="G192" t="s">
        <v>2497</v>
      </c>
      <c r="H192" t="s">
        <v>1914</v>
      </c>
      <c r="I192" s="12" t="s">
        <v>1915</v>
      </c>
      <c r="J192" s="12" t="s">
        <v>1916</v>
      </c>
      <c r="K192" t="s">
        <v>947</v>
      </c>
      <c r="L192" t="str">
        <f>_xlfn.CONCAT(Tbl_Employee_Details[[#This Row],[First Name]],".",Tbl_Employee_Details[[#This Row],[Last Name]],"@saregama.com")</f>
        <v>Sargent.Girardet@saregama.com</v>
      </c>
      <c r="M192" s="6">
        <f ca="1">(TODAY() - 'Employee Onboarding'!E192)/365.25</f>
        <v>17.812457221081452</v>
      </c>
      <c r="N192">
        <v>167513</v>
      </c>
      <c r="O192" s="13" t="s">
        <v>13</v>
      </c>
      <c r="P192" s="6">
        <f ca="1">YEARFRAC(Tbl_Employee_Details[[#This Row],[Date of Birth]],TODAY())</f>
        <v>34.163888888888891</v>
      </c>
      <c r="Q192" s="13" t="s">
        <v>990</v>
      </c>
      <c r="R192" s="2" t="s">
        <v>1019</v>
      </c>
      <c r="S192" s="11" t="str">
        <f>IF(ISNA(VLOOKUP(A192,Tbl_Exit_Formalities[Employee ID],1,FALSE)), "No", "Yes")</f>
        <v>No</v>
      </c>
      <c r="T192" s="22">
        <f ca="1">Tbl_Employee_Details[[#This Row],[Experience in SAREGAMA]]/((SUMIFS(Tbl_Employee_Details[Experience in SAREGAMA],Tbl_Employee_Details[Department],Tbl_Employee_Details[[#This Row],[Department]])))</f>
        <v>1.320409314710407E-2</v>
      </c>
    </row>
    <row r="193" spans="1:20" x14ac:dyDescent="0.3">
      <c r="A193" s="2">
        <v>106071</v>
      </c>
      <c r="B193" t="s">
        <v>596</v>
      </c>
      <c r="C193" t="s">
        <v>597</v>
      </c>
      <c r="D193" t="s">
        <v>933</v>
      </c>
      <c r="E193" s="3" t="s">
        <v>1917</v>
      </c>
      <c r="F193" s="4" t="s">
        <v>1918</v>
      </c>
      <c r="G193" t="s">
        <v>2486</v>
      </c>
      <c r="H193" t="s">
        <v>1919</v>
      </c>
      <c r="I193" s="12" t="s">
        <v>1920</v>
      </c>
      <c r="J193" s="12" t="s">
        <v>1921</v>
      </c>
      <c r="K193" t="s">
        <v>989</v>
      </c>
      <c r="L193" t="str">
        <f>_xlfn.CONCAT(Tbl_Employee_Details[[#This Row],[First Name]],".",Tbl_Employee_Details[[#This Row],[Last Name]],"@saregama.com")</f>
        <v>Northrup.Deavin@saregama.com</v>
      </c>
      <c r="M193" s="6">
        <f ca="1">(TODAY() - 'Employee Onboarding'!E193)/365.25</f>
        <v>7.0171115674195752</v>
      </c>
      <c r="N193">
        <v>742656</v>
      </c>
      <c r="O193" s="13" t="s">
        <v>51</v>
      </c>
      <c r="P193" s="6">
        <f ca="1">YEARFRAC(Tbl_Employee_Details[[#This Row],[Date of Birth]],TODAY())</f>
        <v>38.738888888888887</v>
      </c>
      <c r="Q193" s="13" t="s">
        <v>976</v>
      </c>
      <c r="R193" s="2" t="s">
        <v>958</v>
      </c>
      <c r="S193" s="11" t="str">
        <f>IF(ISNA(VLOOKUP(A193,Tbl_Exit_Formalities[Employee ID],1,FALSE)), "No", "Yes")</f>
        <v>No</v>
      </c>
      <c r="T193" s="22">
        <f ca="1">Tbl_Employee_Details[[#This Row],[Experience in SAREGAMA]]/((SUMIFS(Tbl_Employee_Details[Experience in SAREGAMA],Tbl_Employee_Details[Department],Tbl_Employee_Details[[#This Row],[Department]])))</f>
        <v>2.3965589789143951E-2</v>
      </c>
    </row>
    <row r="194" spans="1:20" x14ac:dyDescent="0.3">
      <c r="A194" s="2">
        <v>105392</v>
      </c>
      <c r="B194" t="s">
        <v>599</v>
      </c>
      <c r="C194" t="s">
        <v>600</v>
      </c>
      <c r="D194" t="s">
        <v>933</v>
      </c>
      <c r="E194" s="3" t="s">
        <v>1922</v>
      </c>
      <c r="F194" s="4" t="s">
        <v>1923</v>
      </c>
      <c r="G194" t="s">
        <v>2482</v>
      </c>
      <c r="H194" t="s">
        <v>1924</v>
      </c>
      <c r="I194" s="12" t="s">
        <v>1925</v>
      </c>
      <c r="J194" s="12" t="s">
        <v>1926</v>
      </c>
      <c r="K194" t="s">
        <v>939</v>
      </c>
      <c r="L194" t="str">
        <f>_xlfn.CONCAT(Tbl_Employee_Details[[#This Row],[First Name]],".",Tbl_Employee_Details[[#This Row],[Last Name]],"@saregama.com")</f>
        <v>Albie.Bratcher@saregama.com</v>
      </c>
      <c r="M194" s="6">
        <f ca="1">(TODAY() - 'Employee Onboarding'!E194)/365.25</f>
        <v>17.284052019164957</v>
      </c>
      <c r="N194">
        <v>789384</v>
      </c>
      <c r="O194" s="13" t="s">
        <v>63</v>
      </c>
      <c r="P194" s="6">
        <f ca="1">YEARFRAC(Tbl_Employee_Details[[#This Row],[Date of Birth]],TODAY())</f>
        <v>20.580555555555556</v>
      </c>
      <c r="Q194" s="13" t="s">
        <v>964</v>
      </c>
      <c r="R194" s="2" t="s">
        <v>1019</v>
      </c>
      <c r="S194" s="11" t="str">
        <f>IF(ISNA(VLOOKUP(A194,Tbl_Exit_Formalities[Employee ID],1,FALSE)), "No", "Yes")</f>
        <v>No</v>
      </c>
      <c r="T194" s="22">
        <f ca="1">Tbl_Employee_Details[[#This Row],[Experience in SAREGAMA]]/((SUMIFS(Tbl_Employee_Details[Experience in SAREGAMA],Tbl_Employee_Details[Department],Tbl_Employee_Details[[#This Row],[Department]])))</f>
        <v>4.887584775943761E-2</v>
      </c>
    </row>
    <row r="195" spans="1:20" x14ac:dyDescent="0.3">
      <c r="A195" s="2">
        <v>102788</v>
      </c>
      <c r="B195" t="s">
        <v>602</v>
      </c>
      <c r="C195" t="s">
        <v>603</v>
      </c>
      <c r="D195" t="s">
        <v>933</v>
      </c>
      <c r="E195" s="3" t="s">
        <v>1927</v>
      </c>
      <c r="F195" s="4" t="s">
        <v>1928</v>
      </c>
      <c r="G195" t="s">
        <v>2486</v>
      </c>
      <c r="H195" t="s">
        <v>1929</v>
      </c>
      <c r="I195" s="12" t="s">
        <v>1930</v>
      </c>
      <c r="J195" s="12" t="s">
        <v>1931</v>
      </c>
      <c r="K195" t="s">
        <v>989</v>
      </c>
      <c r="L195" t="str">
        <f>_xlfn.CONCAT(Tbl_Employee_Details[[#This Row],[First Name]],".",Tbl_Employee_Details[[#This Row],[Last Name]],"@saregama.com")</f>
        <v>Hobey.Tuftin@saregama.com</v>
      </c>
      <c r="M195" s="6">
        <f ca="1">(TODAY() - 'Employee Onboarding'!E195)/365.25</f>
        <v>1.8973305954825461</v>
      </c>
      <c r="N195">
        <v>267498</v>
      </c>
      <c r="O195" s="13" t="s">
        <v>35</v>
      </c>
      <c r="P195" s="6">
        <f ca="1">YEARFRAC(Tbl_Employee_Details[[#This Row],[Date of Birth]],TODAY())</f>
        <v>40.87777777777778</v>
      </c>
      <c r="Q195" s="13" t="s">
        <v>990</v>
      </c>
      <c r="R195" s="2" t="s">
        <v>965</v>
      </c>
      <c r="S195" s="11" t="str">
        <f>IF(ISNA(VLOOKUP(A195,Tbl_Exit_Formalities[Employee ID],1,FALSE)), "No", "Yes")</f>
        <v>No</v>
      </c>
      <c r="T195" s="22">
        <f ca="1">Tbl_Employee_Details[[#This Row],[Experience in SAREGAMA]]/((SUMIFS(Tbl_Employee_Details[Experience in SAREGAMA],Tbl_Employee_Details[Department],Tbl_Employee_Details[[#This Row],[Department]])))</f>
        <v>1.4064611975012479E-3</v>
      </c>
    </row>
    <row r="196" spans="1:20" x14ac:dyDescent="0.3">
      <c r="A196" s="2">
        <v>103273</v>
      </c>
      <c r="B196" t="s">
        <v>605</v>
      </c>
      <c r="C196" t="s">
        <v>606</v>
      </c>
      <c r="D196" t="s">
        <v>933</v>
      </c>
      <c r="E196" s="3" t="s">
        <v>1932</v>
      </c>
      <c r="F196" s="4" t="s">
        <v>1933</v>
      </c>
      <c r="G196" t="s">
        <v>2482</v>
      </c>
      <c r="H196" t="s">
        <v>1934</v>
      </c>
      <c r="I196" s="12" t="s">
        <v>1935</v>
      </c>
      <c r="J196" s="12" t="s">
        <v>1936</v>
      </c>
      <c r="K196" t="s">
        <v>1013</v>
      </c>
      <c r="L196" t="str">
        <f>_xlfn.CONCAT(Tbl_Employee_Details[[#This Row],[First Name]],".",Tbl_Employee_Details[[#This Row],[Last Name]],"@saregama.com")</f>
        <v>Georg.Grivori@saregama.com</v>
      </c>
      <c r="M196" s="6">
        <f ca="1">(TODAY() - 'Employee Onboarding'!E196)/365.25</f>
        <v>0.13415468856947296</v>
      </c>
      <c r="N196">
        <v>668930</v>
      </c>
      <c r="O196" s="13" t="s">
        <v>63</v>
      </c>
      <c r="P196" s="6">
        <f ca="1">YEARFRAC(Tbl_Employee_Details[[#This Row],[Date of Birth]],TODAY())</f>
        <v>19.338888888888889</v>
      </c>
      <c r="Q196" s="13" t="s">
        <v>940</v>
      </c>
      <c r="R196" s="2" t="s">
        <v>1019</v>
      </c>
      <c r="S196" s="11" t="str">
        <f>IF(ISNA(VLOOKUP(A196,Tbl_Exit_Formalities[Employee ID],1,FALSE)), "No", "Yes")</f>
        <v>No</v>
      </c>
      <c r="T196" s="22">
        <f ca="1">Tbl_Employee_Details[[#This Row],[Experience in SAREGAMA]]/((SUMIFS(Tbl_Employee_Details[Experience in SAREGAMA],Tbl_Employee_Details[Department],Tbl_Employee_Details[[#This Row],[Department]])))</f>
        <v>4.3287366272957756E-4</v>
      </c>
    </row>
    <row r="197" spans="1:20" x14ac:dyDescent="0.3">
      <c r="A197" s="2">
        <v>102918</v>
      </c>
      <c r="B197" t="s">
        <v>521</v>
      </c>
      <c r="C197" t="s">
        <v>608</v>
      </c>
      <c r="D197" t="s">
        <v>950</v>
      </c>
      <c r="E197" s="3" t="s">
        <v>1937</v>
      </c>
      <c r="F197" s="4" t="s">
        <v>1938</v>
      </c>
      <c r="G197" t="s">
        <v>2505</v>
      </c>
      <c r="H197" t="s">
        <v>1939</v>
      </c>
      <c r="I197" s="12" t="s">
        <v>1940</v>
      </c>
      <c r="J197" s="12" t="s">
        <v>1941</v>
      </c>
      <c r="K197" t="s">
        <v>939</v>
      </c>
      <c r="L197" t="str">
        <f>_xlfn.CONCAT(Tbl_Employee_Details[[#This Row],[First Name]],".",Tbl_Employee_Details[[#This Row],[Last Name]],"@saregama.com")</f>
        <v>Merrill.Adamov@saregama.com</v>
      </c>
      <c r="M197" s="6">
        <f ca="1">(TODAY() - 'Employee Onboarding'!E197)/365.25</f>
        <v>26.154688569472963</v>
      </c>
      <c r="N197">
        <v>363729</v>
      </c>
      <c r="O197" s="13" t="s">
        <v>85</v>
      </c>
      <c r="P197" s="6">
        <f ca="1">YEARFRAC(Tbl_Employee_Details[[#This Row],[Date of Birth]],TODAY())</f>
        <v>28.066666666666666</v>
      </c>
      <c r="Q197" s="13" t="s">
        <v>990</v>
      </c>
      <c r="R197" s="2" t="s">
        <v>965</v>
      </c>
      <c r="S197" s="11" t="str">
        <f>IF(ISNA(VLOOKUP(A197,Tbl_Exit_Formalities[Employee ID],1,FALSE)), "No", "Yes")</f>
        <v>No</v>
      </c>
      <c r="T197" s="22">
        <f ca="1">Tbl_Employee_Details[[#This Row],[Experience in SAREGAMA]]/((SUMIFS(Tbl_Employee_Details[Experience in SAREGAMA],Tbl_Employee_Details[Department],Tbl_Employee_Details[[#This Row],[Department]])))</f>
        <v>1.9388057459927017E-2</v>
      </c>
    </row>
    <row r="198" spans="1:20" x14ac:dyDescent="0.3">
      <c r="A198" s="2">
        <v>105624</v>
      </c>
      <c r="B198" t="s">
        <v>610</v>
      </c>
      <c r="C198" t="s">
        <v>611</v>
      </c>
      <c r="D198" t="s">
        <v>933</v>
      </c>
      <c r="E198" s="3" t="s">
        <v>1942</v>
      </c>
      <c r="F198" s="4" t="s">
        <v>1943</v>
      </c>
      <c r="G198" t="s">
        <v>2546</v>
      </c>
      <c r="H198" t="s">
        <v>1944</v>
      </c>
      <c r="I198" s="12" t="s">
        <v>1945</v>
      </c>
      <c r="J198" s="12" t="s">
        <v>1946</v>
      </c>
      <c r="K198" t="s">
        <v>956</v>
      </c>
      <c r="L198" t="str">
        <f>_xlfn.CONCAT(Tbl_Employee_Details[[#This Row],[First Name]],".",Tbl_Employee_Details[[#This Row],[Last Name]],"@saregama.com")</f>
        <v>Harmon.Perschke@saregama.com</v>
      </c>
      <c r="M198" s="6">
        <f ca="1">(TODAY() - 'Employee Onboarding'!E198)/365.25</f>
        <v>10.485968514715948</v>
      </c>
      <c r="N198">
        <v>770720</v>
      </c>
      <c r="O198" s="13" t="s">
        <v>51</v>
      </c>
      <c r="P198" s="6">
        <f ca="1">YEARFRAC(Tbl_Employee_Details[[#This Row],[Date of Birth]],TODAY())</f>
        <v>39.1</v>
      </c>
      <c r="Q198" s="13" t="s">
        <v>1055</v>
      </c>
      <c r="R198" s="2" t="s">
        <v>996</v>
      </c>
      <c r="S198" s="11" t="str">
        <f>IF(ISNA(VLOOKUP(A198,Tbl_Exit_Formalities[Employee ID],1,FALSE)), "No", "Yes")</f>
        <v>No</v>
      </c>
      <c r="T198" s="22">
        <f ca="1">Tbl_Employee_Details[[#This Row],[Experience in SAREGAMA]]/((SUMIFS(Tbl_Employee_Details[Experience in SAREGAMA],Tbl_Employee_Details[Department],Tbl_Employee_Details[[#This Row],[Department]])))</f>
        <v>2.1982563178345745E-2</v>
      </c>
    </row>
    <row r="199" spans="1:20" x14ac:dyDescent="0.3">
      <c r="A199" s="2">
        <v>106983</v>
      </c>
      <c r="B199" t="s">
        <v>613</v>
      </c>
      <c r="C199" t="s">
        <v>614</v>
      </c>
      <c r="D199" t="s">
        <v>950</v>
      </c>
      <c r="E199" s="3" t="s">
        <v>1947</v>
      </c>
      <c r="F199" s="4" t="s">
        <v>1948</v>
      </c>
      <c r="G199" t="s">
        <v>2540</v>
      </c>
      <c r="H199" t="s">
        <v>1949</v>
      </c>
      <c r="I199" s="12" t="s">
        <v>1950</v>
      </c>
      <c r="J199" s="12" t="s">
        <v>1951</v>
      </c>
      <c r="K199" t="s">
        <v>939</v>
      </c>
      <c r="L199" t="str">
        <f>_xlfn.CONCAT(Tbl_Employee_Details[[#This Row],[First Name]],".",Tbl_Employee_Details[[#This Row],[Last Name]],"@saregama.com")</f>
        <v>Cari.Galvan@saregama.com</v>
      </c>
      <c r="M199" s="6">
        <f ca="1">(TODAY() - 'Employee Onboarding'!E199)/365.25</f>
        <v>13.330595482546201</v>
      </c>
      <c r="N199">
        <v>89477</v>
      </c>
      <c r="O199" s="13" t="s">
        <v>46</v>
      </c>
      <c r="P199" s="6">
        <f ca="1">YEARFRAC(Tbl_Employee_Details[[#This Row],[Date of Birth]],TODAY())</f>
        <v>22.238888888888887</v>
      </c>
      <c r="Q199" s="13" t="s">
        <v>990</v>
      </c>
      <c r="R199" s="2" t="s">
        <v>941</v>
      </c>
      <c r="S199" s="11" t="str">
        <f>IF(ISNA(VLOOKUP(A199,Tbl_Exit_Formalities[Employee ID],1,FALSE)), "No", "Yes")</f>
        <v>No</v>
      </c>
      <c r="T199" s="22">
        <f ca="1">Tbl_Employee_Details[[#This Row],[Experience in SAREGAMA]]/((SUMIFS(Tbl_Employee_Details[Experience in SAREGAMA],Tbl_Employee_Details[Department],Tbl_Employee_Details[[#This Row],[Department]])))</f>
        <v>9.8817598421840937E-3</v>
      </c>
    </row>
    <row r="200" spans="1:20" x14ac:dyDescent="0.3">
      <c r="A200" s="2">
        <v>104290</v>
      </c>
      <c r="B200" t="s">
        <v>616</v>
      </c>
      <c r="C200" t="s">
        <v>617</v>
      </c>
      <c r="D200" t="s">
        <v>950</v>
      </c>
      <c r="E200" s="3" t="s">
        <v>1952</v>
      </c>
      <c r="F200" s="4" t="s">
        <v>1953</v>
      </c>
      <c r="G200" t="s">
        <v>2547</v>
      </c>
      <c r="H200" t="s">
        <v>1954</v>
      </c>
      <c r="I200" s="12" t="s">
        <v>1955</v>
      </c>
      <c r="J200" s="12" t="s">
        <v>1956</v>
      </c>
      <c r="K200" t="s">
        <v>983</v>
      </c>
      <c r="L200" t="str">
        <f>_xlfn.CONCAT(Tbl_Employee_Details[[#This Row],[First Name]],".",Tbl_Employee_Details[[#This Row],[Last Name]],"@saregama.com")</f>
        <v>Olive.Chown@saregama.com</v>
      </c>
      <c r="M200" s="6">
        <f ca="1">(TODAY() - 'Employee Onboarding'!E200)/365.25</f>
        <v>32.454483230663932</v>
      </c>
      <c r="N200">
        <v>683894</v>
      </c>
      <c r="O200" s="13" t="s">
        <v>129</v>
      </c>
      <c r="P200" s="6">
        <f ca="1">YEARFRAC(Tbl_Employee_Details[[#This Row],[Date of Birth]],TODAY())</f>
        <v>34.013888888888886</v>
      </c>
      <c r="Q200" s="13" t="s">
        <v>1413</v>
      </c>
      <c r="R200" s="2" t="s">
        <v>958</v>
      </c>
      <c r="S200" s="11" t="str">
        <f>IF(ISNA(VLOOKUP(A200,Tbl_Exit_Formalities[Employee ID],1,FALSE)), "No", "Yes")</f>
        <v>No</v>
      </c>
      <c r="T200" s="22">
        <f ca="1">Tbl_Employee_Details[[#This Row],[Experience in SAREGAMA]]/((SUMIFS(Tbl_Employee_Details[Experience in SAREGAMA],Tbl_Employee_Details[Department],Tbl_Employee_Details[[#This Row],[Department]])))</f>
        <v>0.1178470592913668</v>
      </c>
    </row>
    <row r="201" spans="1:20" x14ac:dyDescent="0.3">
      <c r="A201" s="2">
        <v>107121</v>
      </c>
      <c r="B201" t="s">
        <v>619</v>
      </c>
      <c r="C201" t="s">
        <v>620</v>
      </c>
      <c r="D201" t="s">
        <v>933</v>
      </c>
      <c r="E201" s="3" t="s">
        <v>1957</v>
      </c>
      <c r="F201" s="4" t="s">
        <v>1958</v>
      </c>
      <c r="G201" t="s">
        <v>2486</v>
      </c>
      <c r="H201" t="s">
        <v>1959</v>
      </c>
      <c r="I201" s="12" t="s">
        <v>1960</v>
      </c>
      <c r="J201" s="12" t="s">
        <v>1961</v>
      </c>
      <c r="K201" t="s">
        <v>939</v>
      </c>
      <c r="L201" t="str">
        <f>_xlfn.CONCAT(Tbl_Employee_Details[[#This Row],[First Name]],".",Tbl_Employee_Details[[#This Row],[Last Name]],"@saregama.com")</f>
        <v>Inigo.Bartoszek@saregama.com</v>
      </c>
      <c r="M201" s="6">
        <f ca="1">(TODAY() - 'Employee Onboarding'!E201)/365.25</f>
        <v>16.572210814510608</v>
      </c>
      <c r="N201">
        <v>435809</v>
      </c>
      <c r="O201" s="13" t="s">
        <v>22</v>
      </c>
      <c r="P201" s="6">
        <f ca="1">YEARFRAC(Tbl_Employee_Details[[#This Row],[Date of Birth]],TODAY())</f>
        <v>34.822222222222223</v>
      </c>
      <c r="Q201" s="13" t="s">
        <v>990</v>
      </c>
      <c r="R201" s="2" t="s">
        <v>949</v>
      </c>
      <c r="S201" s="11" t="str">
        <f>IF(ISNA(VLOOKUP(A201,Tbl_Exit_Formalities[Employee ID],1,FALSE)), "No", "Yes")</f>
        <v>No</v>
      </c>
      <c r="T201" s="22">
        <f ca="1">Tbl_Employee_Details[[#This Row],[Experience in SAREGAMA]]/((SUMIFS(Tbl_Employee_Details[Experience in SAREGAMA],Tbl_Employee_Details[Department],Tbl_Employee_Details[[#This Row],[Department]])))</f>
        <v>1.2284718078607582E-2</v>
      </c>
    </row>
    <row r="202" spans="1:20" x14ac:dyDescent="0.3">
      <c r="A202" s="2">
        <v>107507</v>
      </c>
      <c r="B202" t="s">
        <v>622</v>
      </c>
      <c r="C202" t="s">
        <v>623</v>
      </c>
      <c r="D202" t="s">
        <v>950</v>
      </c>
      <c r="E202" s="3" t="s">
        <v>1962</v>
      </c>
      <c r="F202" s="4" t="s">
        <v>1963</v>
      </c>
      <c r="G202" t="s">
        <v>2486</v>
      </c>
      <c r="H202" t="s">
        <v>1964</v>
      </c>
      <c r="I202" s="12" t="s">
        <v>1965</v>
      </c>
      <c r="J202" s="12" t="s">
        <v>1966</v>
      </c>
      <c r="K202" t="s">
        <v>939</v>
      </c>
      <c r="L202" t="str">
        <f>_xlfn.CONCAT(Tbl_Employee_Details[[#This Row],[First Name]],".",Tbl_Employee_Details[[#This Row],[Last Name]],"@saregama.com")</f>
        <v>Beatrisa.Pounds@saregama.com</v>
      </c>
      <c r="M202" s="6">
        <f ca="1">(TODAY() - 'Employee Onboarding'!E202)/365.25</f>
        <v>12.821355236139631</v>
      </c>
      <c r="N202">
        <v>1161735</v>
      </c>
      <c r="O202" s="13" t="s">
        <v>51</v>
      </c>
      <c r="P202" s="6">
        <f ca="1">YEARFRAC(Tbl_Employee_Details[[#This Row],[Date of Birth]],TODAY())</f>
        <v>39.43611111111111</v>
      </c>
      <c r="Q202" s="13" t="s">
        <v>1836</v>
      </c>
      <c r="R202" s="2" t="s">
        <v>958</v>
      </c>
      <c r="S202" s="11" t="str">
        <f>IF(ISNA(VLOOKUP(A202,Tbl_Exit_Formalities[Employee ID],1,FALSE)), "No", "Yes")</f>
        <v>No</v>
      </c>
      <c r="T202" s="22">
        <f ca="1">Tbl_Employee_Details[[#This Row],[Experience in SAREGAMA]]/((SUMIFS(Tbl_Employee_Details[Experience in SAREGAMA],Tbl_Employee_Details[Department],Tbl_Employee_Details[[#This Row],[Department]])))</f>
        <v>0.58508245877061471</v>
      </c>
    </row>
    <row r="203" spans="1:20" x14ac:dyDescent="0.3">
      <c r="A203" s="2">
        <v>104505</v>
      </c>
      <c r="B203" t="s">
        <v>625</v>
      </c>
      <c r="C203" t="s">
        <v>626</v>
      </c>
      <c r="D203" t="s">
        <v>950</v>
      </c>
      <c r="E203" s="3" t="s">
        <v>1967</v>
      </c>
      <c r="F203" s="4" t="s">
        <v>1968</v>
      </c>
      <c r="G203" t="s">
        <v>2496</v>
      </c>
      <c r="H203" t="s">
        <v>1969</v>
      </c>
      <c r="I203" s="12" t="s">
        <v>1970</v>
      </c>
      <c r="J203" s="12" t="s">
        <v>1971</v>
      </c>
      <c r="K203" t="s">
        <v>989</v>
      </c>
      <c r="L203" t="str">
        <f>_xlfn.CONCAT(Tbl_Employee_Details[[#This Row],[First Name]],".",Tbl_Employee_Details[[#This Row],[Last Name]],"@saregama.com")</f>
        <v>Arlette.Rainville@saregama.com</v>
      </c>
      <c r="M203" s="6">
        <f ca="1">(TODAY() - 'Employee Onboarding'!E203)/365.25</f>
        <v>23.753593429158112</v>
      </c>
      <c r="N203">
        <v>151421</v>
      </c>
      <c r="O203" s="13" t="s">
        <v>46</v>
      </c>
      <c r="P203" s="6">
        <f ca="1">YEARFRAC(Tbl_Employee_Details[[#This Row],[Date of Birth]],TODAY())</f>
        <v>33.791666666666664</v>
      </c>
      <c r="Q203" s="13" t="s">
        <v>990</v>
      </c>
      <c r="R203" s="2" t="s">
        <v>941</v>
      </c>
      <c r="S203" s="11" t="str">
        <f>IF(ISNA(VLOOKUP(A203,Tbl_Exit_Formalities[Employee ID],1,FALSE)), "No", "Yes")</f>
        <v>No</v>
      </c>
      <c r="T203" s="22">
        <f ca="1">Tbl_Employee_Details[[#This Row],[Experience in SAREGAMA]]/((SUMIFS(Tbl_Employee_Details[Experience in SAREGAMA],Tbl_Employee_Details[Department],Tbl_Employee_Details[[#This Row],[Department]])))</f>
        <v>1.7608163563522121E-2</v>
      </c>
    </row>
    <row r="204" spans="1:20" x14ac:dyDescent="0.3">
      <c r="A204" s="2">
        <v>105076</v>
      </c>
      <c r="B204" t="s">
        <v>628</v>
      </c>
      <c r="C204" t="s">
        <v>629</v>
      </c>
      <c r="D204" t="s">
        <v>950</v>
      </c>
      <c r="E204" s="3" t="s">
        <v>1972</v>
      </c>
      <c r="F204" s="4" t="s">
        <v>1973</v>
      </c>
      <c r="G204" t="s">
        <v>2521</v>
      </c>
      <c r="H204" t="s">
        <v>1974</v>
      </c>
      <c r="I204" s="12" t="s">
        <v>1975</v>
      </c>
      <c r="J204" s="12" t="s">
        <v>1976</v>
      </c>
      <c r="K204" t="s">
        <v>983</v>
      </c>
      <c r="L204" t="str">
        <f>_xlfn.CONCAT(Tbl_Employee_Details[[#This Row],[First Name]],".",Tbl_Employee_Details[[#This Row],[Last Name]],"@saregama.com")</f>
        <v>Margi.Eberts@saregama.com</v>
      </c>
      <c r="M204" s="6">
        <f ca="1">(TODAY() - 'Employee Onboarding'!E204)/365.25</f>
        <v>11.690622861054072</v>
      </c>
      <c r="N204">
        <v>100261</v>
      </c>
      <c r="O204" s="13" t="s">
        <v>13</v>
      </c>
      <c r="P204" s="6">
        <f ca="1">YEARFRAC(Tbl_Employee_Details[[#This Row],[Date of Birth]],TODAY())</f>
        <v>22.755555555555556</v>
      </c>
      <c r="Q204" s="13" t="s">
        <v>990</v>
      </c>
      <c r="R204" s="2" t="s">
        <v>1019</v>
      </c>
      <c r="S204" s="11" t="str">
        <f>IF(ISNA(VLOOKUP(A204,Tbl_Exit_Formalities[Employee ID],1,FALSE)), "No", "Yes")</f>
        <v>Yes</v>
      </c>
      <c r="T204" s="22">
        <f ca="1">Tbl_Employee_Details[[#This Row],[Experience in SAREGAMA]]/((SUMIFS(Tbl_Employee_Details[Experience in SAREGAMA],Tbl_Employee_Details[Department],Tbl_Employee_Details[[#This Row],[Department]])))</f>
        <v>8.6660740452097103E-3</v>
      </c>
    </row>
    <row r="205" spans="1:20" x14ac:dyDescent="0.3">
      <c r="A205" s="2">
        <v>108216</v>
      </c>
      <c r="B205" t="s">
        <v>631</v>
      </c>
      <c r="C205" t="s">
        <v>632</v>
      </c>
      <c r="D205" t="s">
        <v>933</v>
      </c>
      <c r="E205" s="3" t="s">
        <v>1977</v>
      </c>
      <c r="F205" s="4" t="s">
        <v>1978</v>
      </c>
      <c r="G205" t="s">
        <v>2510</v>
      </c>
      <c r="H205" t="s">
        <v>1979</v>
      </c>
      <c r="I205" s="12" t="s">
        <v>1980</v>
      </c>
      <c r="J205" s="12" t="s">
        <v>1981</v>
      </c>
      <c r="K205" t="s">
        <v>1066</v>
      </c>
      <c r="L205" t="str">
        <f>_xlfn.CONCAT(Tbl_Employee_Details[[#This Row],[First Name]],".",Tbl_Employee_Details[[#This Row],[Last Name]],"@saregama.com")</f>
        <v>Ingelbert.Ventum@saregama.com</v>
      </c>
      <c r="M205" s="6">
        <f ca="1">(TODAY() - 'Employee Onboarding'!E205)/365.25</f>
        <v>19.874058863791923</v>
      </c>
      <c r="N205">
        <v>563228</v>
      </c>
      <c r="O205" s="13" t="s">
        <v>129</v>
      </c>
      <c r="P205" s="6">
        <f ca="1">YEARFRAC(Tbl_Employee_Details[[#This Row],[Date of Birth]],TODAY())</f>
        <v>22.477777777777778</v>
      </c>
      <c r="Q205" s="13" t="s">
        <v>1559</v>
      </c>
      <c r="R205" s="2" t="s">
        <v>965</v>
      </c>
      <c r="S205" s="11" t="str">
        <f>IF(ISNA(VLOOKUP(A205,Tbl_Exit_Formalities[Employee ID],1,FALSE)), "No", "Yes")</f>
        <v>No</v>
      </c>
      <c r="T205" s="22">
        <f ca="1">Tbl_Employee_Details[[#This Row],[Experience in SAREGAMA]]/((SUMIFS(Tbl_Employee_Details[Experience in SAREGAMA],Tbl_Employee_Details[Department],Tbl_Employee_Details[[#This Row],[Department]])))</f>
        <v>4.1952020158237548E-2</v>
      </c>
    </row>
    <row r="206" spans="1:20" x14ac:dyDescent="0.3">
      <c r="A206" s="2">
        <v>106316</v>
      </c>
      <c r="B206" t="s">
        <v>634</v>
      </c>
      <c r="C206" t="s">
        <v>635</v>
      </c>
      <c r="D206" t="s">
        <v>933</v>
      </c>
      <c r="E206" s="3" t="s">
        <v>1982</v>
      </c>
      <c r="F206" s="4" t="s">
        <v>1983</v>
      </c>
      <c r="G206" t="s">
        <v>2519</v>
      </c>
      <c r="H206" t="s">
        <v>1984</v>
      </c>
      <c r="I206" s="12" t="s">
        <v>1985</v>
      </c>
      <c r="J206" s="12" t="s">
        <v>1986</v>
      </c>
      <c r="K206" t="s">
        <v>956</v>
      </c>
      <c r="L206" t="str">
        <f>_xlfn.CONCAT(Tbl_Employee_Details[[#This Row],[First Name]],".",Tbl_Employee_Details[[#This Row],[Last Name]],"@saregama.com")</f>
        <v>Jan.Leneve@saregama.com</v>
      </c>
      <c r="M206" s="6">
        <f ca="1">(TODAY() - 'Employee Onboarding'!E206)/365.25</f>
        <v>6.792607802874743</v>
      </c>
      <c r="N206">
        <v>139715</v>
      </c>
      <c r="O206" s="13" t="s">
        <v>13</v>
      </c>
      <c r="P206" s="6">
        <f ca="1">YEARFRAC(Tbl_Employee_Details[[#This Row],[Date of Birth]],TODAY())</f>
        <v>19.705555555555556</v>
      </c>
      <c r="Q206" s="13" t="s">
        <v>990</v>
      </c>
      <c r="R206" s="2" t="s">
        <v>1019</v>
      </c>
      <c r="S206" s="11" t="str">
        <f>IF(ISNA(VLOOKUP(A206,Tbl_Exit_Formalities[Employee ID],1,FALSE)), "No", "Yes")</f>
        <v>No</v>
      </c>
      <c r="T206" s="22">
        <f ca="1">Tbl_Employee_Details[[#This Row],[Experience in SAREGAMA]]/((SUMIFS(Tbl_Employee_Details[Experience in SAREGAMA],Tbl_Employee_Details[Department],Tbl_Employee_Details[[#This Row],[Department]])))</f>
        <v>5.0352528585867187E-3</v>
      </c>
    </row>
    <row r="207" spans="1:20" x14ac:dyDescent="0.3">
      <c r="A207" s="2">
        <v>106408</v>
      </c>
      <c r="B207" t="s">
        <v>637</v>
      </c>
      <c r="C207" t="s">
        <v>638</v>
      </c>
      <c r="D207" t="s">
        <v>933</v>
      </c>
      <c r="E207" s="3" t="s">
        <v>1987</v>
      </c>
      <c r="F207" s="4" t="s">
        <v>1988</v>
      </c>
      <c r="G207" t="s">
        <v>2563</v>
      </c>
      <c r="H207" t="s">
        <v>1989</v>
      </c>
      <c r="I207" s="12" t="s">
        <v>1990</v>
      </c>
      <c r="J207" s="12" t="s">
        <v>1991</v>
      </c>
      <c r="K207" t="s">
        <v>983</v>
      </c>
      <c r="L207" t="str">
        <f>_xlfn.CONCAT(Tbl_Employee_Details[[#This Row],[First Name]],".",Tbl_Employee_Details[[#This Row],[Last Name]],"@saregama.com")</f>
        <v>Cleve.Whitwam@saregama.com</v>
      </c>
      <c r="M207" s="6">
        <f ca="1">(TODAY() - 'Employee Onboarding'!E207)/365.25</f>
        <v>20.996577686516083</v>
      </c>
      <c r="N207">
        <v>563685</v>
      </c>
      <c r="O207" s="13" t="s">
        <v>129</v>
      </c>
      <c r="P207" s="6">
        <f ca="1">YEARFRAC(Tbl_Employee_Details[[#This Row],[Date of Birth]],TODAY())</f>
        <v>21.274999999999999</v>
      </c>
      <c r="Q207" s="13" t="s">
        <v>1660</v>
      </c>
      <c r="R207" s="2" t="s">
        <v>1019</v>
      </c>
      <c r="S207" s="11" t="str">
        <f>IF(ISNA(VLOOKUP(A207,Tbl_Exit_Formalities[Employee ID],1,FALSE)), "No", "Yes")</f>
        <v>No</v>
      </c>
      <c r="T207" s="22">
        <f ca="1">Tbl_Employee_Details[[#This Row],[Experience in SAREGAMA]]/((SUMIFS(Tbl_Employee_Details[Experience in SAREGAMA],Tbl_Employee_Details[Department],Tbl_Employee_Details[[#This Row],[Department]])))</f>
        <v>5.7059738249890253E-2</v>
      </c>
    </row>
    <row r="208" spans="1:20" x14ac:dyDescent="0.3">
      <c r="A208" s="2">
        <v>103424</v>
      </c>
      <c r="B208" t="s">
        <v>640</v>
      </c>
      <c r="C208" t="s">
        <v>641</v>
      </c>
      <c r="D208" t="s">
        <v>933</v>
      </c>
      <c r="E208" s="3" t="s">
        <v>1992</v>
      </c>
      <c r="F208" s="4" t="s">
        <v>1993</v>
      </c>
      <c r="G208" t="s">
        <v>2563</v>
      </c>
      <c r="H208" t="s">
        <v>1994</v>
      </c>
      <c r="I208" s="12" t="s">
        <v>1995</v>
      </c>
      <c r="J208" s="12" t="s">
        <v>1996</v>
      </c>
      <c r="K208" t="s">
        <v>956</v>
      </c>
      <c r="L208" t="str">
        <f>_xlfn.CONCAT(Tbl_Employee_Details[[#This Row],[First Name]],".",Tbl_Employee_Details[[#This Row],[Last Name]],"@saregama.com")</f>
        <v>Vincenz.Oswell@saregama.com</v>
      </c>
      <c r="M208" s="6">
        <f ca="1">(TODAY() - 'Employee Onboarding'!E208)/365.25</f>
        <v>3.7891854893908281</v>
      </c>
      <c r="N208">
        <v>395575</v>
      </c>
      <c r="O208" s="13" t="s">
        <v>22</v>
      </c>
      <c r="P208" s="6">
        <f ca="1">YEARFRAC(Tbl_Employee_Details[[#This Row],[Date of Birth]],TODAY())</f>
        <v>41.272222222222226</v>
      </c>
      <c r="Q208" s="13" t="s">
        <v>990</v>
      </c>
      <c r="R208" s="2" t="s">
        <v>949</v>
      </c>
      <c r="S208" s="11" t="str">
        <f>IF(ISNA(VLOOKUP(A208,Tbl_Exit_Formalities[Employee ID],1,FALSE)), "No", "Yes")</f>
        <v>No</v>
      </c>
      <c r="T208" s="22">
        <f ca="1">Tbl_Employee_Details[[#This Row],[Experience in SAREGAMA]]/((SUMIFS(Tbl_Employee_Details[Experience in SAREGAMA],Tbl_Employee_Details[Department],Tbl_Employee_Details[[#This Row],[Department]])))</f>
        <v>2.8088633439274564E-3</v>
      </c>
    </row>
    <row r="209" spans="1:20" x14ac:dyDescent="0.3">
      <c r="A209" s="2">
        <v>102135</v>
      </c>
      <c r="B209" t="s">
        <v>643</v>
      </c>
      <c r="C209" t="s">
        <v>644</v>
      </c>
      <c r="D209" t="s">
        <v>950</v>
      </c>
      <c r="E209" s="3" t="s">
        <v>1666</v>
      </c>
      <c r="F209" s="4" t="s">
        <v>1997</v>
      </c>
      <c r="G209" t="s">
        <v>2525</v>
      </c>
      <c r="H209" t="s">
        <v>1998</v>
      </c>
      <c r="I209" s="12" t="s">
        <v>1999</v>
      </c>
      <c r="J209" s="12" t="s">
        <v>2000</v>
      </c>
      <c r="K209" t="s">
        <v>983</v>
      </c>
      <c r="L209" t="str">
        <f>_xlfn.CONCAT(Tbl_Employee_Details[[#This Row],[First Name]],".",Tbl_Employee_Details[[#This Row],[Last Name]],"@saregama.com")</f>
        <v>Dorella.Tisun@saregama.com</v>
      </c>
      <c r="M209" s="6">
        <f ca="1">(TODAY() - 'Employee Onboarding'!E209)/365.25</f>
        <v>10.718685831622176</v>
      </c>
      <c r="N209">
        <v>494874</v>
      </c>
      <c r="O209" s="13" t="s">
        <v>22</v>
      </c>
      <c r="P209" s="6">
        <f ca="1">YEARFRAC(Tbl_Employee_Details[[#This Row],[Date of Birth]],TODAY())</f>
        <v>23.652777777777779</v>
      </c>
      <c r="Q209" s="13" t="s">
        <v>990</v>
      </c>
      <c r="R209" s="2" t="s">
        <v>977</v>
      </c>
      <c r="S209" s="11" t="str">
        <f>IF(ISNA(VLOOKUP(A209,Tbl_Exit_Formalities[Employee ID],1,FALSE)), "No", "Yes")</f>
        <v>No</v>
      </c>
      <c r="T209" s="22">
        <f ca="1">Tbl_Employee_Details[[#This Row],[Experience in SAREGAMA]]/((SUMIFS(Tbl_Employee_Details[Experience in SAREGAMA],Tbl_Employee_Details[Department],Tbl_Employee_Details[[#This Row],[Department]])))</f>
        <v>7.9455924793901678E-3</v>
      </c>
    </row>
    <row r="210" spans="1:20" x14ac:dyDescent="0.3">
      <c r="A210" s="2">
        <v>105733</v>
      </c>
      <c r="B210" t="s">
        <v>646</v>
      </c>
      <c r="C210" t="s">
        <v>647</v>
      </c>
      <c r="D210" t="s">
        <v>933</v>
      </c>
      <c r="E210" s="3" t="s">
        <v>2001</v>
      </c>
      <c r="F210" s="4" t="s">
        <v>2002</v>
      </c>
      <c r="G210" t="s">
        <v>2563</v>
      </c>
      <c r="H210" t="s">
        <v>2003</v>
      </c>
      <c r="I210" s="12" t="s">
        <v>2004</v>
      </c>
      <c r="J210" s="12" t="s">
        <v>2005</v>
      </c>
      <c r="K210" t="s">
        <v>947</v>
      </c>
      <c r="L210" t="str">
        <f>_xlfn.CONCAT(Tbl_Employee_Details[[#This Row],[First Name]],".",Tbl_Employee_Details[[#This Row],[Last Name]],"@saregama.com")</f>
        <v>Jonathon.Wickins@saregama.com</v>
      </c>
      <c r="M210" s="6">
        <f ca="1">(TODAY() - 'Employee Onboarding'!E210)/365.25</f>
        <v>19.838466803559207</v>
      </c>
      <c r="N210">
        <v>350338</v>
      </c>
      <c r="O210" s="13" t="s">
        <v>22</v>
      </c>
      <c r="P210" s="6">
        <f ca="1">YEARFRAC(Tbl_Employee_Details[[#This Row],[Date of Birth]],TODAY())</f>
        <v>38.174999999999997</v>
      </c>
      <c r="Q210" s="13" t="s">
        <v>990</v>
      </c>
      <c r="R210" s="2" t="s">
        <v>1002</v>
      </c>
      <c r="S210" s="11" t="str">
        <f>IF(ISNA(VLOOKUP(A210,Tbl_Exit_Formalities[Employee ID],1,FALSE)), "No", "Yes")</f>
        <v>No</v>
      </c>
      <c r="T210" s="22">
        <f ca="1">Tbl_Employee_Details[[#This Row],[Experience in SAREGAMA]]/((SUMIFS(Tbl_Employee_Details[Experience in SAREGAMA],Tbl_Employee_Details[Department],Tbl_Employee_Details[[#This Row],[Department]])))</f>
        <v>1.4705942044868751E-2</v>
      </c>
    </row>
    <row r="211" spans="1:20" x14ac:dyDescent="0.3">
      <c r="A211" s="2">
        <v>104888</v>
      </c>
      <c r="B211" t="s">
        <v>649</v>
      </c>
      <c r="C211" t="s">
        <v>650</v>
      </c>
      <c r="D211" t="s">
        <v>950</v>
      </c>
      <c r="E211" s="3" t="s">
        <v>2006</v>
      </c>
      <c r="F211" s="4" t="s">
        <v>2007</v>
      </c>
      <c r="G211" t="s">
        <v>2533</v>
      </c>
      <c r="H211" t="s">
        <v>2008</v>
      </c>
      <c r="I211" s="12" t="s">
        <v>2009</v>
      </c>
      <c r="J211" s="12" t="s">
        <v>2010</v>
      </c>
      <c r="K211" t="s">
        <v>989</v>
      </c>
      <c r="L211" t="str">
        <f>_xlfn.CONCAT(Tbl_Employee_Details[[#This Row],[First Name]],".",Tbl_Employee_Details[[#This Row],[Last Name]],"@saregama.com")</f>
        <v>Mina.Ozelton@saregama.com</v>
      </c>
      <c r="M211" s="6">
        <f ca="1">(TODAY() - 'Employee Onboarding'!E211)/365.25</f>
        <v>5.207392197125257</v>
      </c>
      <c r="N211">
        <v>761531</v>
      </c>
      <c r="O211" s="13" t="s">
        <v>51</v>
      </c>
      <c r="P211" s="6">
        <f ca="1">YEARFRAC(Tbl_Employee_Details[[#This Row],[Date of Birth]],TODAY())</f>
        <v>28.072222222222223</v>
      </c>
      <c r="Q211" s="13" t="s">
        <v>990</v>
      </c>
      <c r="R211" s="2" t="s">
        <v>949</v>
      </c>
      <c r="S211" s="11" t="str">
        <f>IF(ISNA(VLOOKUP(A211,Tbl_Exit_Formalities[Employee ID],1,FALSE)), "No", "Yes")</f>
        <v>No</v>
      </c>
      <c r="T211" s="22">
        <f ca="1">Tbl_Employee_Details[[#This Row],[Experience in SAREGAMA]]/((SUMIFS(Tbl_Employee_Details[Experience in SAREGAMA],Tbl_Employee_Details[Department],Tbl_Employee_Details[[#This Row],[Department]])))</f>
        <v>3.8601575723627331E-3</v>
      </c>
    </row>
    <row r="212" spans="1:20" x14ac:dyDescent="0.3">
      <c r="A212" s="2">
        <v>104523</v>
      </c>
      <c r="B212" t="s">
        <v>652</v>
      </c>
      <c r="C212" t="s">
        <v>653</v>
      </c>
      <c r="D212" t="s">
        <v>933</v>
      </c>
      <c r="E212" s="3" t="s">
        <v>2011</v>
      </c>
      <c r="F212" s="4" t="s">
        <v>2012</v>
      </c>
      <c r="G212" t="s">
        <v>2507</v>
      </c>
      <c r="H212" t="s">
        <v>2013</v>
      </c>
      <c r="I212" s="12" t="s">
        <v>2014</v>
      </c>
      <c r="J212" s="12" t="s">
        <v>2015</v>
      </c>
      <c r="K212" t="s">
        <v>956</v>
      </c>
      <c r="L212" t="str">
        <f>_xlfn.CONCAT(Tbl_Employee_Details[[#This Row],[First Name]],".",Tbl_Employee_Details[[#This Row],[Last Name]],"@saregama.com")</f>
        <v>Marten.Feldhuhn@saregama.com</v>
      </c>
      <c r="M212" s="6">
        <f ca="1">(TODAY() - 'Employee Onboarding'!E212)/365.25</f>
        <v>1.0020533880903491</v>
      </c>
      <c r="N212">
        <v>305334</v>
      </c>
      <c r="O212" s="13" t="s">
        <v>35</v>
      </c>
      <c r="P212" s="6">
        <f ca="1">YEARFRAC(Tbl_Employee_Details[[#This Row],[Date of Birth]],TODAY())</f>
        <v>22.086111111111112</v>
      </c>
      <c r="Q212" s="13" t="s">
        <v>990</v>
      </c>
      <c r="R212" s="2" t="s">
        <v>1019</v>
      </c>
      <c r="S212" s="11" t="str">
        <f>IF(ISNA(VLOOKUP(A212,Tbl_Exit_Formalities[Employee ID],1,FALSE)), "No", "Yes")</f>
        <v>No</v>
      </c>
      <c r="T212" s="22">
        <f ca="1">Tbl_Employee_Details[[#This Row],[Experience in SAREGAMA]]/((SUMIFS(Tbl_Employee_Details[Experience in SAREGAMA],Tbl_Employee_Details[Department],Tbl_Employee_Details[[#This Row],[Department]])))</f>
        <v>7.4280634673226089E-4</v>
      </c>
    </row>
    <row r="213" spans="1:20" x14ac:dyDescent="0.3">
      <c r="A213" s="2">
        <v>102730</v>
      </c>
      <c r="B213" t="s">
        <v>655</v>
      </c>
      <c r="C213" t="s">
        <v>656</v>
      </c>
      <c r="D213" t="s">
        <v>950</v>
      </c>
      <c r="E213" s="3" t="s">
        <v>2016</v>
      </c>
      <c r="F213" s="4" t="s">
        <v>2017</v>
      </c>
      <c r="G213" t="s">
        <v>2548</v>
      </c>
      <c r="H213" t="s">
        <v>2018</v>
      </c>
      <c r="I213" s="12" t="s">
        <v>2019</v>
      </c>
      <c r="J213" s="12" t="s">
        <v>2020</v>
      </c>
      <c r="K213" t="s">
        <v>989</v>
      </c>
      <c r="L213" t="str">
        <f>_xlfn.CONCAT(Tbl_Employee_Details[[#This Row],[First Name]],".",Tbl_Employee_Details[[#This Row],[Last Name]],"@saregama.com")</f>
        <v>Babbette.Lutty@saregama.com</v>
      </c>
      <c r="M213" s="6">
        <f ca="1">(TODAY() - 'Employee Onboarding'!E213)/365.25</f>
        <v>15.515400410677618</v>
      </c>
      <c r="N213">
        <v>311863</v>
      </c>
      <c r="O213" s="13" t="s">
        <v>35</v>
      </c>
      <c r="P213" s="6">
        <f ca="1">YEARFRAC(Tbl_Employee_Details[[#This Row],[Date of Birth]],TODAY())</f>
        <v>40.447222222222223</v>
      </c>
      <c r="Q213" s="13" t="s">
        <v>990</v>
      </c>
      <c r="R213" s="2" t="s">
        <v>941</v>
      </c>
      <c r="S213" s="11" t="str">
        <f>IF(ISNA(VLOOKUP(A213,Tbl_Exit_Formalities[Employee ID],1,FALSE)), "No", "Yes")</f>
        <v>No</v>
      </c>
      <c r="T213" s="22">
        <f ca="1">Tbl_Employee_Details[[#This Row],[Experience in SAREGAMA]]/((SUMIFS(Tbl_Employee_Details[Experience in SAREGAMA],Tbl_Employee_Details[Department],Tbl_Employee_Details[[#This Row],[Department]])))</f>
        <v>1.1501321221124924E-2</v>
      </c>
    </row>
    <row r="214" spans="1:20" x14ac:dyDescent="0.3">
      <c r="A214" s="2">
        <v>106198</v>
      </c>
      <c r="B214" t="s">
        <v>658</v>
      </c>
      <c r="C214" t="s">
        <v>659</v>
      </c>
      <c r="D214" t="s">
        <v>950</v>
      </c>
      <c r="E214" s="3" t="s">
        <v>2021</v>
      </c>
      <c r="F214" s="4" t="s">
        <v>2022</v>
      </c>
      <c r="G214" t="s">
        <v>2549</v>
      </c>
      <c r="H214" t="s">
        <v>2023</v>
      </c>
      <c r="I214" s="12" t="s">
        <v>2024</v>
      </c>
      <c r="J214" s="12" t="s">
        <v>2025</v>
      </c>
      <c r="K214" t="s">
        <v>947</v>
      </c>
      <c r="L214" t="str">
        <f>_xlfn.CONCAT(Tbl_Employee_Details[[#This Row],[First Name]],".",Tbl_Employee_Details[[#This Row],[Last Name]],"@saregama.com")</f>
        <v>Camilla.Huccaby@saregama.com</v>
      </c>
      <c r="M214" s="6">
        <f ca="1">(TODAY() - 'Employee Onboarding'!E214)/365.25</f>
        <v>29.749486652977414</v>
      </c>
      <c r="N214">
        <v>633838</v>
      </c>
      <c r="O214" s="13" t="s">
        <v>63</v>
      </c>
      <c r="P214" s="6">
        <f ca="1">YEARFRAC(Tbl_Employee_Details[[#This Row],[Date of Birth]],TODAY())</f>
        <v>36.369444444444447</v>
      </c>
      <c r="Q214" s="13" t="s">
        <v>990</v>
      </c>
      <c r="R214" s="2" t="s">
        <v>996</v>
      </c>
      <c r="S214" s="11" t="str">
        <f>IF(ISNA(VLOOKUP(A214,Tbl_Exit_Formalities[Employee ID],1,FALSE)), "No", "Yes")</f>
        <v>No</v>
      </c>
      <c r="T214" s="22">
        <f ca="1">Tbl_Employee_Details[[#This Row],[Experience in SAREGAMA]]/((SUMIFS(Tbl_Employee_Details[Experience in SAREGAMA],Tbl_Employee_Details[Department],Tbl_Employee_Details[[#This Row],[Department]])))</f>
        <v>2.2052824490690567E-2</v>
      </c>
    </row>
    <row r="215" spans="1:20" x14ac:dyDescent="0.3">
      <c r="A215" s="2">
        <v>107211</v>
      </c>
      <c r="B215" t="s">
        <v>661</v>
      </c>
      <c r="C215" t="s">
        <v>662</v>
      </c>
      <c r="D215" t="s">
        <v>933</v>
      </c>
      <c r="E215" s="3" t="s">
        <v>2026</v>
      </c>
      <c r="F215" s="4" t="s">
        <v>2027</v>
      </c>
      <c r="G215" t="s">
        <v>2486</v>
      </c>
      <c r="H215" t="s">
        <v>2028</v>
      </c>
      <c r="I215" s="12" t="s">
        <v>2029</v>
      </c>
      <c r="J215" s="12" t="s">
        <v>2030</v>
      </c>
      <c r="K215" t="s">
        <v>939</v>
      </c>
      <c r="L215" t="str">
        <f>_xlfn.CONCAT(Tbl_Employee_Details[[#This Row],[First Name]],".",Tbl_Employee_Details[[#This Row],[Last Name]],"@saregama.com")</f>
        <v>Fredek.Greveson@saregama.com</v>
      </c>
      <c r="M215" s="6">
        <f ca="1">(TODAY() - 'Employee Onboarding'!E215)/365.25</f>
        <v>18.466803559206024</v>
      </c>
      <c r="N215">
        <v>380717</v>
      </c>
      <c r="O215" s="13" t="s">
        <v>85</v>
      </c>
      <c r="P215" s="6">
        <f ca="1">YEARFRAC(Tbl_Employee_Details[[#This Row],[Date of Birth]],TODAY())</f>
        <v>21.488888888888887</v>
      </c>
      <c r="Q215" s="13" t="s">
        <v>990</v>
      </c>
      <c r="R215" s="2" t="s">
        <v>941</v>
      </c>
      <c r="S215" s="11" t="str">
        <f>IF(ISNA(VLOOKUP(A215,Tbl_Exit_Formalities[Employee ID],1,FALSE)), "No", "Yes")</f>
        <v>No</v>
      </c>
      <c r="T215" s="22">
        <f ca="1">Tbl_Employee_Details[[#This Row],[Experience in SAREGAMA]]/((SUMIFS(Tbl_Employee_Details[Experience in SAREGAMA],Tbl_Employee_Details[Department],Tbl_Employee_Details[[#This Row],[Department]])))</f>
        <v>1.3689149750571311E-2</v>
      </c>
    </row>
    <row r="216" spans="1:20" x14ac:dyDescent="0.3">
      <c r="A216" s="2">
        <v>102922</v>
      </c>
      <c r="B216" t="s">
        <v>664</v>
      </c>
      <c r="C216" t="s">
        <v>665</v>
      </c>
      <c r="D216" t="s">
        <v>950</v>
      </c>
      <c r="E216" s="3" t="s">
        <v>2031</v>
      </c>
      <c r="F216" s="4" t="s">
        <v>2032</v>
      </c>
      <c r="G216" t="s">
        <v>2486</v>
      </c>
      <c r="H216" t="s">
        <v>2033</v>
      </c>
      <c r="I216" s="12" t="s">
        <v>2034</v>
      </c>
      <c r="J216" s="12" t="s">
        <v>2035</v>
      </c>
      <c r="K216" t="s">
        <v>956</v>
      </c>
      <c r="L216" t="str">
        <f>_xlfn.CONCAT(Tbl_Employee_Details[[#This Row],[First Name]],".",Tbl_Employee_Details[[#This Row],[Last Name]],"@saregama.com")</f>
        <v>Anna-diana.Bruggen@saregama.com</v>
      </c>
      <c r="M216" s="6">
        <f ca="1">(TODAY() - 'Employee Onboarding'!E216)/365.25</f>
        <v>40.030116358658454</v>
      </c>
      <c r="N216">
        <v>186535</v>
      </c>
      <c r="O216" s="13" t="s">
        <v>42</v>
      </c>
      <c r="P216" s="6">
        <f ca="1">YEARFRAC(Tbl_Employee_Details[[#This Row],[Date of Birth]],TODAY())</f>
        <v>43.791666666666664</v>
      </c>
      <c r="Q216" s="13" t="s">
        <v>990</v>
      </c>
      <c r="R216" s="2" t="s">
        <v>941</v>
      </c>
      <c r="S216" s="11" t="str">
        <f>IF(ISNA(VLOOKUP(A216,Tbl_Exit_Formalities[Employee ID],1,FALSE)), "No", "Yes")</f>
        <v>No</v>
      </c>
      <c r="T216" s="22">
        <f ca="1">Tbl_Employee_Details[[#This Row],[Experience in SAREGAMA]]/((SUMIFS(Tbl_Employee_Details[Experience in SAREGAMA],Tbl_Employee_Details[Department],Tbl_Employee_Details[[#This Row],[Department]])))</f>
        <v>2.9673692884077559E-2</v>
      </c>
    </row>
    <row r="217" spans="1:20" x14ac:dyDescent="0.3">
      <c r="A217" s="2">
        <v>104698</v>
      </c>
      <c r="B217" t="s">
        <v>667</v>
      </c>
      <c r="C217" t="s">
        <v>668</v>
      </c>
      <c r="D217" t="s">
        <v>950</v>
      </c>
      <c r="E217" s="3" t="s">
        <v>2036</v>
      </c>
      <c r="F217" s="4" t="s">
        <v>2037</v>
      </c>
      <c r="G217" t="s">
        <v>2482</v>
      </c>
      <c r="H217" t="s">
        <v>2038</v>
      </c>
      <c r="I217" s="12" t="s">
        <v>2039</v>
      </c>
      <c r="J217" s="12" t="s">
        <v>2040</v>
      </c>
      <c r="K217" t="s">
        <v>939</v>
      </c>
      <c r="L217" t="str">
        <f>_xlfn.CONCAT(Tbl_Employee_Details[[#This Row],[First Name]],".",Tbl_Employee_Details[[#This Row],[Last Name]],"@saregama.com")</f>
        <v>Blinni.Darkott@saregama.com</v>
      </c>
      <c r="M217" s="6">
        <f ca="1">(TODAY() - 'Employee Onboarding'!E217)/365.25</f>
        <v>35.759069130732378</v>
      </c>
      <c r="N217">
        <v>432058</v>
      </c>
      <c r="O217" s="13" t="s">
        <v>85</v>
      </c>
      <c r="P217" s="6">
        <f ca="1">YEARFRAC(Tbl_Employee_Details[[#This Row],[Date of Birth]],TODAY())</f>
        <v>39.427777777777777</v>
      </c>
      <c r="Q217" s="13" t="s">
        <v>990</v>
      </c>
      <c r="R217" s="2" t="s">
        <v>996</v>
      </c>
      <c r="S217" s="11" t="str">
        <f>IF(ISNA(VLOOKUP(A217,Tbl_Exit_Formalities[Employee ID],1,FALSE)), "No", "Yes")</f>
        <v>No</v>
      </c>
      <c r="T217" s="22">
        <f ca="1">Tbl_Employee_Details[[#This Row],[Experience in SAREGAMA]]/((SUMIFS(Tbl_Employee_Details[Experience in SAREGAMA],Tbl_Employee_Details[Department],Tbl_Employee_Details[[#This Row],[Department]])))</f>
        <v>2.6507633045546611E-2</v>
      </c>
    </row>
    <row r="218" spans="1:20" x14ac:dyDescent="0.3">
      <c r="A218" s="2">
        <v>105936</v>
      </c>
      <c r="B218" t="s">
        <v>670</v>
      </c>
      <c r="C218" t="s">
        <v>671</v>
      </c>
      <c r="D218" t="s">
        <v>950</v>
      </c>
      <c r="E218" s="3" t="s">
        <v>2041</v>
      </c>
      <c r="F218" s="4" t="s">
        <v>2042</v>
      </c>
      <c r="G218" t="s">
        <v>2540</v>
      </c>
      <c r="H218" t="s">
        <v>2043</v>
      </c>
      <c r="I218" s="12" t="s">
        <v>2044</v>
      </c>
      <c r="J218" s="12" t="s">
        <v>2045</v>
      </c>
      <c r="K218" t="s">
        <v>947</v>
      </c>
      <c r="L218" t="str">
        <f>_xlfn.CONCAT(Tbl_Employee_Details[[#This Row],[First Name]],".",Tbl_Employee_Details[[#This Row],[Last Name]],"@saregama.com")</f>
        <v>Giselle.Smithyman@saregama.com</v>
      </c>
      <c r="M218" s="6">
        <f ca="1">(TODAY() - 'Employee Onboarding'!E218)/365.25</f>
        <v>20.837782340862422</v>
      </c>
      <c r="N218">
        <v>367559</v>
      </c>
      <c r="O218" s="13" t="s">
        <v>85</v>
      </c>
      <c r="P218" s="6">
        <f ca="1">YEARFRAC(Tbl_Employee_Details[[#This Row],[Date of Birth]],TODAY())</f>
        <v>24.808333333333334</v>
      </c>
      <c r="Q218" s="13" t="s">
        <v>990</v>
      </c>
      <c r="R218" s="2" t="s">
        <v>977</v>
      </c>
      <c r="S218" s="11" t="str">
        <f>IF(ISNA(VLOOKUP(A218,Tbl_Exit_Formalities[Employee ID],1,FALSE)), "No", "Yes")</f>
        <v>No</v>
      </c>
      <c r="T218" s="22">
        <f ca="1">Tbl_Employee_Details[[#This Row],[Experience in SAREGAMA]]/((SUMIFS(Tbl_Employee_Details[Experience in SAREGAMA],Tbl_Employee_Details[Department],Tbl_Employee_Details[[#This Row],[Department]])))</f>
        <v>1.544671886606349E-2</v>
      </c>
    </row>
    <row r="219" spans="1:20" x14ac:dyDescent="0.3">
      <c r="A219" s="2">
        <v>105279</v>
      </c>
      <c r="B219" t="s">
        <v>673</v>
      </c>
      <c r="C219" t="s">
        <v>674</v>
      </c>
      <c r="D219" t="s">
        <v>933</v>
      </c>
      <c r="E219" s="3" t="s">
        <v>2046</v>
      </c>
      <c r="F219" s="4" t="s">
        <v>2047</v>
      </c>
      <c r="G219" t="s">
        <v>2482</v>
      </c>
      <c r="H219" t="s">
        <v>2048</v>
      </c>
      <c r="I219" s="12" t="s">
        <v>2049</v>
      </c>
      <c r="J219" s="12" t="s">
        <v>2050</v>
      </c>
      <c r="K219" t="s">
        <v>989</v>
      </c>
      <c r="L219" t="str">
        <f>_xlfn.CONCAT(Tbl_Employee_Details[[#This Row],[First Name]],".",Tbl_Employee_Details[[#This Row],[Last Name]],"@saregama.com")</f>
        <v>Waverly.Hillett@saregama.com</v>
      </c>
      <c r="M219" s="6">
        <f ca="1">(TODAY() - 'Employee Onboarding'!E219)/365.25</f>
        <v>16.67898699520876</v>
      </c>
      <c r="N219">
        <v>461758</v>
      </c>
      <c r="O219" s="13" t="s">
        <v>22</v>
      </c>
      <c r="P219" s="6">
        <f ca="1">YEARFRAC(Tbl_Employee_Details[[#This Row],[Date of Birth]],TODAY())</f>
        <v>43.086111111111109</v>
      </c>
      <c r="Q219" s="13" t="s">
        <v>990</v>
      </c>
      <c r="R219" s="2" t="s">
        <v>941</v>
      </c>
      <c r="S219" s="11" t="str">
        <f>IF(ISNA(VLOOKUP(A219,Tbl_Exit_Formalities[Employee ID],1,FALSE)), "No", "Yes")</f>
        <v>No</v>
      </c>
      <c r="T219" s="22">
        <f ca="1">Tbl_Employee_Details[[#This Row],[Experience in SAREGAMA]]/((SUMIFS(Tbl_Employee_Details[Experience in SAREGAMA],Tbl_Employee_Details[Department],Tbl_Employee_Details[[#This Row],[Department]])))</f>
        <v>1.2363869574570856E-2</v>
      </c>
    </row>
    <row r="220" spans="1:20" x14ac:dyDescent="0.3">
      <c r="A220" s="2">
        <v>105093</v>
      </c>
      <c r="B220" t="s">
        <v>676</v>
      </c>
      <c r="C220" t="s">
        <v>677</v>
      </c>
      <c r="D220" t="s">
        <v>950</v>
      </c>
      <c r="E220" s="3" t="s">
        <v>2051</v>
      </c>
      <c r="F220" s="4" t="s">
        <v>2052</v>
      </c>
      <c r="G220" t="s">
        <v>2482</v>
      </c>
      <c r="H220" t="s">
        <v>2053</v>
      </c>
      <c r="I220" s="12" t="s">
        <v>2054</v>
      </c>
      <c r="J220" s="12" t="s">
        <v>2055</v>
      </c>
      <c r="K220" t="s">
        <v>1066</v>
      </c>
      <c r="L220" t="str">
        <f>_xlfn.CONCAT(Tbl_Employee_Details[[#This Row],[First Name]],".",Tbl_Employee_Details[[#This Row],[Last Name]],"@saregama.com")</f>
        <v>Suzanne.Dymond@saregama.com</v>
      </c>
      <c r="M220" s="6">
        <f ca="1">(TODAY() - 'Employee Onboarding'!E220)/365.25</f>
        <v>3.3867214236824092</v>
      </c>
      <c r="N220">
        <v>1287315</v>
      </c>
      <c r="O220" s="13" t="s">
        <v>51</v>
      </c>
      <c r="P220" s="6">
        <f ca="1">YEARFRAC(Tbl_Employee_Details[[#This Row],[Date of Birth]],TODAY())</f>
        <v>43.555555555555557</v>
      </c>
      <c r="Q220" s="13" t="s">
        <v>964</v>
      </c>
      <c r="R220" s="2" t="s">
        <v>958</v>
      </c>
      <c r="S220" s="11" t="str">
        <f>IF(ISNA(VLOOKUP(A220,Tbl_Exit_Formalities[Employee ID],1,FALSE)), "No", "Yes")</f>
        <v>No</v>
      </c>
      <c r="T220" s="22">
        <f ca="1">Tbl_Employee_Details[[#This Row],[Experience in SAREGAMA]]/((SUMIFS(Tbl_Employee_Details[Experience in SAREGAMA],Tbl_Employee_Details[Department],Tbl_Employee_Details[[#This Row],[Department]])))</f>
        <v>9.576971911678174E-3</v>
      </c>
    </row>
    <row r="221" spans="1:20" x14ac:dyDescent="0.3">
      <c r="A221" s="2">
        <v>107190</v>
      </c>
      <c r="B221" t="s">
        <v>679</v>
      </c>
      <c r="C221" t="s">
        <v>680</v>
      </c>
      <c r="D221" t="s">
        <v>950</v>
      </c>
      <c r="E221" s="3" t="s">
        <v>2056</v>
      </c>
      <c r="F221" s="4" t="s">
        <v>2057</v>
      </c>
      <c r="G221" t="s">
        <v>2484</v>
      </c>
      <c r="H221" t="s">
        <v>2058</v>
      </c>
      <c r="I221" s="12" t="s">
        <v>2059</v>
      </c>
      <c r="J221" s="12" t="s">
        <v>2060</v>
      </c>
      <c r="K221" t="s">
        <v>1013</v>
      </c>
      <c r="L221" t="str">
        <f>_xlfn.CONCAT(Tbl_Employee_Details[[#This Row],[First Name]],".",Tbl_Employee_Details[[#This Row],[Last Name]],"@saregama.com")</f>
        <v>Koo.Ibbeson@saregama.com</v>
      </c>
      <c r="M221" s="6">
        <f ca="1">(TODAY() - 'Employee Onboarding'!E221)/365.25</f>
        <v>1.6098562628336757</v>
      </c>
      <c r="N221">
        <v>96888</v>
      </c>
      <c r="O221" s="13" t="s">
        <v>13</v>
      </c>
      <c r="P221" s="6">
        <f ca="1">YEARFRAC(Tbl_Employee_Details[[#This Row],[Date of Birth]],TODAY())</f>
        <v>20.069444444444443</v>
      </c>
      <c r="Q221" s="13" t="s">
        <v>990</v>
      </c>
      <c r="R221" s="2" t="s">
        <v>958</v>
      </c>
      <c r="S221" s="11" t="str">
        <f>IF(ISNA(VLOOKUP(A221,Tbl_Exit_Formalities[Employee ID],1,FALSE)), "No", "Yes")</f>
        <v>No</v>
      </c>
      <c r="T221" s="22">
        <f ca="1">Tbl_Employee_Details[[#This Row],[Experience in SAREGAMA]]/((SUMIFS(Tbl_Employee_Details[Experience in SAREGAMA],Tbl_Employee_Details[Department],Tbl_Employee_Details[[#This Row],[Department]])))</f>
        <v>1.193361016061665E-3</v>
      </c>
    </row>
    <row r="222" spans="1:20" x14ac:dyDescent="0.3">
      <c r="A222" s="2">
        <v>106665</v>
      </c>
      <c r="B222" t="s">
        <v>682</v>
      </c>
      <c r="C222" t="s">
        <v>683</v>
      </c>
      <c r="D222" t="s">
        <v>950</v>
      </c>
      <c r="E222" s="3" t="s">
        <v>2061</v>
      </c>
      <c r="F222" s="4" t="s">
        <v>2062</v>
      </c>
      <c r="G222" t="s">
        <v>2495</v>
      </c>
      <c r="H222" t="s">
        <v>2063</v>
      </c>
      <c r="I222" s="12" t="s">
        <v>2064</v>
      </c>
      <c r="J222" s="12" t="s">
        <v>2065</v>
      </c>
      <c r="K222" t="s">
        <v>989</v>
      </c>
      <c r="L222" t="str">
        <f>_xlfn.CONCAT(Tbl_Employee_Details[[#This Row],[First Name]],".",Tbl_Employee_Details[[#This Row],[Last Name]],"@saregama.com")</f>
        <v>Gwenny.Cordrey@saregama.com</v>
      </c>
      <c r="M222" s="6">
        <f ca="1">(TODAY() - 'Employee Onboarding'!E222)/365.25</f>
        <v>14.253251197809719</v>
      </c>
      <c r="N222">
        <v>144606</v>
      </c>
      <c r="O222" s="13" t="s">
        <v>13</v>
      </c>
      <c r="P222" s="6">
        <f ca="1">YEARFRAC(Tbl_Employee_Details[[#This Row],[Date of Birth]],TODAY())</f>
        <v>28.68611111111111</v>
      </c>
      <c r="Q222" s="13" t="s">
        <v>990</v>
      </c>
      <c r="R222" s="2" t="s">
        <v>958</v>
      </c>
      <c r="S222" s="11" t="str">
        <f>IF(ISNA(VLOOKUP(A222,Tbl_Exit_Formalities[Employee ID],1,FALSE)), "No", "Yes")</f>
        <v>No</v>
      </c>
      <c r="T222" s="22">
        <f ca="1">Tbl_Employee_Details[[#This Row],[Experience in SAREGAMA]]/((SUMIFS(Tbl_Employee_Details[Experience in SAREGAMA],Tbl_Employee_Details[Department],Tbl_Employee_Details[[#This Row],[Department]])))</f>
        <v>1.0565709948328278E-2</v>
      </c>
    </row>
    <row r="223" spans="1:20" x14ac:dyDescent="0.3">
      <c r="A223" s="2">
        <v>102080</v>
      </c>
      <c r="B223" t="s">
        <v>685</v>
      </c>
      <c r="C223" t="s">
        <v>686</v>
      </c>
      <c r="D223" t="s">
        <v>933</v>
      </c>
      <c r="E223" s="3" t="s">
        <v>2066</v>
      </c>
      <c r="F223" s="4" t="s">
        <v>2067</v>
      </c>
      <c r="G223" t="s">
        <v>2550</v>
      </c>
      <c r="H223" t="s">
        <v>2068</v>
      </c>
      <c r="I223" s="12" t="s">
        <v>2069</v>
      </c>
      <c r="J223" s="12" t="s">
        <v>2070</v>
      </c>
      <c r="K223" t="s">
        <v>947</v>
      </c>
      <c r="L223" t="str">
        <f>_xlfn.CONCAT(Tbl_Employee_Details[[#This Row],[First Name]],".",Tbl_Employee_Details[[#This Row],[Last Name]],"@saregama.com")</f>
        <v>Davin.Salliere@saregama.com</v>
      </c>
      <c r="M223" s="6">
        <f ca="1">(TODAY() - 'Employee Onboarding'!E223)/365.25</f>
        <v>10.236824093086927</v>
      </c>
      <c r="N223">
        <v>708361</v>
      </c>
      <c r="O223" s="13" t="s">
        <v>51</v>
      </c>
      <c r="P223" s="6">
        <f ca="1">YEARFRAC(Tbl_Employee_Details[[#This Row],[Date of Birth]],TODAY())</f>
        <v>38.138888888888886</v>
      </c>
      <c r="Q223" s="13" t="s">
        <v>1413</v>
      </c>
      <c r="R223" s="2" t="s">
        <v>996</v>
      </c>
      <c r="S223" s="11" t="str">
        <f>IF(ISNA(VLOOKUP(A223,Tbl_Exit_Formalities[Employee ID],1,FALSE)), "No", "Yes")</f>
        <v>No</v>
      </c>
      <c r="T223" s="22">
        <f ca="1">Tbl_Employee_Details[[#This Row],[Experience in SAREGAMA]]/((SUMIFS(Tbl_Employee_Details[Experience in SAREGAMA],Tbl_Employee_Details[Department],Tbl_Employee_Details[[#This Row],[Department]])))</f>
        <v>3.7171431979957856E-2</v>
      </c>
    </row>
    <row r="224" spans="1:20" x14ac:dyDescent="0.3">
      <c r="A224" s="2">
        <v>105769</v>
      </c>
      <c r="B224" t="s">
        <v>688</v>
      </c>
      <c r="C224" t="s">
        <v>689</v>
      </c>
      <c r="D224" t="s">
        <v>933</v>
      </c>
      <c r="E224" s="3" t="s">
        <v>2071</v>
      </c>
      <c r="F224" s="4" t="s">
        <v>2072</v>
      </c>
      <c r="G224" t="s">
        <v>2489</v>
      </c>
      <c r="H224" t="s">
        <v>2073</v>
      </c>
      <c r="I224" s="12" t="s">
        <v>2074</v>
      </c>
      <c r="J224" s="12" t="s">
        <v>2075</v>
      </c>
      <c r="K224" t="s">
        <v>939</v>
      </c>
      <c r="L224" t="str">
        <f>_xlfn.CONCAT(Tbl_Employee_Details[[#This Row],[First Name]],".",Tbl_Employee_Details[[#This Row],[Last Name]],"@saregama.com")</f>
        <v>Augie.Bogges@saregama.com</v>
      </c>
      <c r="M224" s="6">
        <f ca="1">(TODAY() - 'Employee Onboarding'!E224)/365.25</f>
        <v>12.818617385352498</v>
      </c>
      <c r="N224">
        <v>783876</v>
      </c>
      <c r="O224" s="13" t="s">
        <v>63</v>
      </c>
      <c r="P224" s="6">
        <f ca="1">YEARFRAC(Tbl_Employee_Details[[#This Row],[Date of Birth]],TODAY())</f>
        <v>27.697222222222223</v>
      </c>
      <c r="Q224" s="13" t="s">
        <v>1055</v>
      </c>
      <c r="R224" s="2" t="s">
        <v>996</v>
      </c>
      <c r="S224" s="11" t="str">
        <f>IF(ISNA(VLOOKUP(A224,Tbl_Exit_Formalities[Employee ID],1,FALSE)), "No", "Yes")</f>
        <v>No</v>
      </c>
      <c r="T224" s="22">
        <f ca="1">Tbl_Employee_Details[[#This Row],[Experience in SAREGAMA]]/((SUMIFS(Tbl_Employee_Details[Experience in SAREGAMA],Tbl_Employee_Details[Department],Tbl_Employee_Details[[#This Row],[Department]])))</f>
        <v>2.6872679060317171E-2</v>
      </c>
    </row>
    <row r="225" spans="1:20" x14ac:dyDescent="0.3">
      <c r="A225" s="2">
        <v>104136</v>
      </c>
      <c r="B225" t="s">
        <v>691</v>
      </c>
      <c r="C225" t="s">
        <v>692</v>
      </c>
      <c r="D225" t="s">
        <v>950</v>
      </c>
      <c r="E225" s="3" t="s">
        <v>2076</v>
      </c>
      <c r="F225" s="4" t="s">
        <v>2077</v>
      </c>
      <c r="G225" t="s">
        <v>2551</v>
      </c>
      <c r="H225" t="s">
        <v>2078</v>
      </c>
      <c r="I225" s="12" t="s">
        <v>2079</v>
      </c>
      <c r="J225" s="12" t="s">
        <v>2080</v>
      </c>
      <c r="K225" t="s">
        <v>947</v>
      </c>
      <c r="L225" t="str">
        <f>_xlfn.CONCAT(Tbl_Employee_Details[[#This Row],[First Name]],".",Tbl_Employee_Details[[#This Row],[Last Name]],"@saregama.com")</f>
        <v>Zea.Denham@saregama.com</v>
      </c>
      <c r="M225" s="6">
        <f ca="1">(TODAY() - 'Employee Onboarding'!E225)/365.25</f>
        <v>1.0212183436002737</v>
      </c>
      <c r="N225">
        <v>328275</v>
      </c>
      <c r="O225" s="13" t="s">
        <v>35</v>
      </c>
      <c r="P225" s="6">
        <f ca="1">YEARFRAC(Tbl_Employee_Details[[#This Row],[Date of Birth]],TODAY())</f>
        <v>26.458333333333332</v>
      </c>
      <c r="Q225" s="13" t="s">
        <v>990</v>
      </c>
      <c r="R225" s="2" t="s">
        <v>1002</v>
      </c>
      <c r="S225" s="11" t="str">
        <f>IF(ISNA(VLOOKUP(A225,Tbl_Exit_Formalities[Employee ID],1,FALSE)), "No", "Yes")</f>
        <v>No</v>
      </c>
      <c r="T225" s="22">
        <f ca="1">Tbl_Employee_Details[[#This Row],[Experience in SAREGAMA]]/((SUMIFS(Tbl_Employee_Details[Experience in SAREGAMA],Tbl_Employee_Details[Department],Tbl_Employee_Details[[#This Row],[Department]])))</f>
        <v>7.5701302549489966E-4</v>
      </c>
    </row>
    <row r="226" spans="1:20" x14ac:dyDescent="0.3">
      <c r="A226" s="2">
        <v>102196</v>
      </c>
      <c r="B226" t="s">
        <v>694</v>
      </c>
      <c r="C226" t="s">
        <v>695</v>
      </c>
      <c r="D226" t="s">
        <v>933</v>
      </c>
      <c r="E226" s="3" t="s">
        <v>2081</v>
      </c>
      <c r="F226" s="4" t="s">
        <v>2082</v>
      </c>
      <c r="G226" t="s">
        <v>2486</v>
      </c>
      <c r="H226" t="s">
        <v>2083</v>
      </c>
      <c r="I226" s="12" t="s">
        <v>2084</v>
      </c>
      <c r="J226" s="12" t="s">
        <v>2085</v>
      </c>
      <c r="K226" t="s">
        <v>1013</v>
      </c>
      <c r="L226" t="str">
        <f>_xlfn.CONCAT(Tbl_Employee_Details[[#This Row],[First Name]],".",Tbl_Employee_Details[[#This Row],[Last Name]],"@saregama.com")</f>
        <v>Andros.Liverseege@saregama.com</v>
      </c>
      <c r="M226" s="6">
        <f ca="1">(TODAY() - 'Employee Onboarding'!E226)/365.25</f>
        <v>11.800136892539356</v>
      </c>
      <c r="N226">
        <v>370624</v>
      </c>
      <c r="O226" s="13" t="s">
        <v>22</v>
      </c>
      <c r="P226" s="6">
        <f ca="1">YEARFRAC(Tbl_Employee_Details[[#This Row],[Date of Birth]],TODAY())</f>
        <v>37.636111111111113</v>
      </c>
      <c r="Q226" s="13" t="s">
        <v>990</v>
      </c>
      <c r="R226" s="2" t="s">
        <v>977</v>
      </c>
      <c r="S226" s="11" t="str">
        <f>IF(ISNA(VLOOKUP(A226,Tbl_Exit_Formalities[Employee ID],1,FALSE)), "No", "Yes")</f>
        <v>No</v>
      </c>
      <c r="T226" s="22">
        <f ca="1">Tbl_Employee_Details[[#This Row],[Experience in SAREGAMA]]/((SUMIFS(Tbl_Employee_Details[Experience in SAREGAMA],Tbl_Employee_Details[Department],Tbl_Employee_Details[[#This Row],[Department]])))</f>
        <v>8.7472550667105041E-3</v>
      </c>
    </row>
    <row r="227" spans="1:20" x14ac:dyDescent="0.3">
      <c r="A227" s="2">
        <v>104356</v>
      </c>
      <c r="B227" t="s">
        <v>697</v>
      </c>
      <c r="C227" t="s">
        <v>698</v>
      </c>
      <c r="D227" t="s">
        <v>933</v>
      </c>
      <c r="E227" s="3" t="s">
        <v>2086</v>
      </c>
      <c r="F227" s="4" t="s">
        <v>2087</v>
      </c>
      <c r="G227" t="s">
        <v>2552</v>
      </c>
      <c r="H227" t="s">
        <v>2088</v>
      </c>
      <c r="I227" s="12" t="s">
        <v>2089</v>
      </c>
      <c r="J227" s="12" t="s">
        <v>2090</v>
      </c>
      <c r="K227" t="s">
        <v>939</v>
      </c>
      <c r="L227" t="str">
        <f>_xlfn.CONCAT(Tbl_Employee_Details[[#This Row],[First Name]],".",Tbl_Employee_Details[[#This Row],[Last Name]],"@saregama.com")</f>
        <v>Gardiner.McElrea@saregama.com</v>
      </c>
      <c r="M227" s="6">
        <f ca="1">(TODAY() - 'Employee Onboarding'!E227)/365.25</f>
        <v>20.156057494866531</v>
      </c>
      <c r="N227">
        <v>476087</v>
      </c>
      <c r="O227" s="13" t="s">
        <v>22</v>
      </c>
      <c r="P227" s="6">
        <f ca="1">YEARFRAC(Tbl_Employee_Details[[#This Row],[Date of Birth]],TODAY())</f>
        <v>39.947222222222223</v>
      </c>
      <c r="Q227" s="13" t="s">
        <v>990</v>
      </c>
      <c r="R227" s="2" t="s">
        <v>958</v>
      </c>
      <c r="S227" s="11" t="str">
        <f>IF(ISNA(VLOOKUP(A227,Tbl_Exit_Formalities[Employee ID],1,FALSE)), "No", "Yes")</f>
        <v>No</v>
      </c>
      <c r="T227" s="22">
        <f ca="1">Tbl_Employee_Details[[#This Row],[Experience in SAREGAMA]]/((SUMIFS(Tbl_Employee_Details[Experience in SAREGAMA],Tbl_Employee_Details[Department],Tbl_Employee_Details[[#This Row],[Department]])))</f>
        <v>1.4941367007221051E-2</v>
      </c>
    </row>
    <row r="228" spans="1:20" x14ac:dyDescent="0.3">
      <c r="A228" s="2">
        <v>102583</v>
      </c>
      <c r="B228" t="s">
        <v>700</v>
      </c>
      <c r="C228" t="s">
        <v>701</v>
      </c>
      <c r="D228" t="s">
        <v>950</v>
      </c>
      <c r="E228" s="3" t="s">
        <v>2091</v>
      </c>
      <c r="F228" s="4" t="s">
        <v>2092</v>
      </c>
      <c r="G228" t="s">
        <v>2496</v>
      </c>
      <c r="H228" t="s">
        <v>2093</v>
      </c>
      <c r="I228" s="12" t="s">
        <v>2094</v>
      </c>
      <c r="J228" s="12" t="s">
        <v>2095</v>
      </c>
      <c r="K228" t="s">
        <v>939</v>
      </c>
      <c r="L228" t="str">
        <f>_xlfn.CONCAT(Tbl_Employee_Details[[#This Row],[First Name]],".",Tbl_Employee_Details[[#This Row],[Last Name]],"@saregama.com")</f>
        <v>Leora.Sweynson@saregama.com</v>
      </c>
      <c r="M228" s="6">
        <f ca="1">(TODAY() - 'Employee Onboarding'!E228)/365.25</f>
        <v>31.036276522929501</v>
      </c>
      <c r="N228">
        <v>116991</v>
      </c>
      <c r="O228" s="13" t="s">
        <v>42</v>
      </c>
      <c r="P228" s="6">
        <f ca="1">YEARFRAC(Tbl_Employee_Details[[#This Row],[Date of Birth]],TODAY())</f>
        <v>36.55833333333333</v>
      </c>
      <c r="Q228" s="13" t="s">
        <v>990</v>
      </c>
      <c r="R228" s="2" t="s">
        <v>958</v>
      </c>
      <c r="S228" s="11" t="str">
        <f>IF(ISNA(VLOOKUP(A228,Tbl_Exit_Formalities[Employee ID],1,FALSE)), "No", "Yes")</f>
        <v>No</v>
      </c>
      <c r="T228" s="22">
        <f ca="1">Tbl_Employee_Details[[#This Row],[Experience in SAREGAMA]]/((SUMIFS(Tbl_Employee_Details[Experience in SAREGAMA],Tbl_Employee_Details[Department],Tbl_Employee_Details[[#This Row],[Department]])))</f>
        <v>2.3006701493324889E-2</v>
      </c>
    </row>
    <row r="229" spans="1:20" x14ac:dyDescent="0.3">
      <c r="A229" s="2">
        <v>102281</v>
      </c>
      <c r="B229" t="s">
        <v>703</v>
      </c>
      <c r="C229" t="s">
        <v>704</v>
      </c>
      <c r="D229" t="s">
        <v>950</v>
      </c>
      <c r="E229" s="3" t="s">
        <v>2096</v>
      </c>
      <c r="F229" s="4" t="s">
        <v>2097</v>
      </c>
      <c r="G229" t="s">
        <v>2498</v>
      </c>
      <c r="H229" t="s">
        <v>2098</v>
      </c>
      <c r="I229" s="12" t="s">
        <v>2099</v>
      </c>
      <c r="J229" s="12" t="s">
        <v>2100</v>
      </c>
      <c r="K229" t="s">
        <v>1013</v>
      </c>
      <c r="L229" t="str">
        <f>_xlfn.CONCAT(Tbl_Employee_Details[[#This Row],[First Name]],".",Tbl_Employee_Details[[#This Row],[Last Name]],"@saregama.com")</f>
        <v>Nannie.Meenan@saregama.com</v>
      </c>
      <c r="M229" s="6">
        <f ca="1">(TODAY() - 'Employee Onboarding'!E229)/365.25</f>
        <v>1.8699520876112252</v>
      </c>
      <c r="N229">
        <v>113908</v>
      </c>
      <c r="O229" s="13" t="s">
        <v>13</v>
      </c>
      <c r="P229" s="6">
        <f ca="1">YEARFRAC(Tbl_Employee_Details[[#This Row],[Date of Birth]],TODAY())</f>
        <v>19.722222222222221</v>
      </c>
      <c r="Q229" s="13" t="s">
        <v>990</v>
      </c>
      <c r="R229" s="2" t="s">
        <v>965</v>
      </c>
      <c r="S229" s="11" t="str">
        <f>IF(ISNA(VLOOKUP(A229,Tbl_Exit_Formalities[Employee ID],1,FALSE)), "No", "Yes")</f>
        <v>Yes</v>
      </c>
      <c r="T229" s="22">
        <f ca="1">Tbl_Employee_Details[[#This Row],[Experience in SAREGAMA]]/((SUMIFS(Tbl_Employee_Details[Experience in SAREGAMA],Tbl_Employee_Details[Department],Tbl_Employee_Details[[#This Row],[Department]])))</f>
        <v>1.3861659421260497E-3</v>
      </c>
    </row>
    <row r="230" spans="1:20" x14ac:dyDescent="0.3">
      <c r="A230" s="2">
        <v>104701</v>
      </c>
      <c r="B230" t="s">
        <v>706</v>
      </c>
      <c r="C230" t="s">
        <v>707</v>
      </c>
      <c r="D230" t="s">
        <v>950</v>
      </c>
      <c r="E230" s="3" t="s">
        <v>2101</v>
      </c>
      <c r="F230" s="4" t="s">
        <v>2102</v>
      </c>
      <c r="G230" t="s">
        <v>2498</v>
      </c>
      <c r="H230" t="s">
        <v>2103</v>
      </c>
      <c r="I230" s="12" t="s">
        <v>2104</v>
      </c>
      <c r="J230" s="12" t="s">
        <v>2105</v>
      </c>
      <c r="K230" t="s">
        <v>939</v>
      </c>
      <c r="L230" t="str">
        <f>_xlfn.CONCAT(Tbl_Employee_Details[[#This Row],[First Name]],".",Tbl_Employee_Details[[#This Row],[Last Name]],"@saregama.com")</f>
        <v>Callie.Kopps@saregama.com</v>
      </c>
      <c r="M230" s="6">
        <f ca="1">(TODAY() - 'Employee Onboarding'!E230)/365.25</f>
        <v>37.399041752224505</v>
      </c>
      <c r="N230">
        <v>644682</v>
      </c>
      <c r="O230" s="13" t="s">
        <v>63</v>
      </c>
      <c r="P230" s="6">
        <f ca="1">YEARFRAC(Tbl_Employee_Details[[#This Row],[Date of Birth]],TODAY())</f>
        <v>42.5</v>
      </c>
      <c r="Q230" s="13" t="s">
        <v>1055</v>
      </c>
      <c r="R230" s="2" t="s">
        <v>958</v>
      </c>
      <c r="S230" s="11" t="str">
        <f>IF(ISNA(VLOOKUP(A230,Tbl_Exit_Formalities[Employee ID],1,FALSE)), "No", "Yes")</f>
        <v>No</v>
      </c>
      <c r="T230" s="22">
        <f ca="1">Tbl_Employee_Details[[#This Row],[Experience in SAREGAMA]]/((SUMIFS(Tbl_Employee_Details[Experience in SAREGAMA],Tbl_Employee_Details[Department],Tbl_Employee_Details[[#This Row],[Department]])))</f>
        <v>7.8402562145222676E-2</v>
      </c>
    </row>
    <row r="231" spans="1:20" x14ac:dyDescent="0.3">
      <c r="A231" s="2">
        <v>105968</v>
      </c>
      <c r="B231" t="s">
        <v>709</v>
      </c>
      <c r="C231" t="s">
        <v>710</v>
      </c>
      <c r="D231" t="s">
        <v>950</v>
      </c>
      <c r="E231" s="3" t="s">
        <v>1077</v>
      </c>
      <c r="F231" s="4" t="s">
        <v>2106</v>
      </c>
      <c r="G231" t="s">
        <v>2491</v>
      </c>
      <c r="H231" t="s">
        <v>2107</v>
      </c>
      <c r="I231" s="12" t="s">
        <v>2108</v>
      </c>
      <c r="J231" s="12" t="s">
        <v>2109</v>
      </c>
      <c r="K231" t="s">
        <v>947</v>
      </c>
      <c r="L231" t="str">
        <f>_xlfn.CONCAT(Tbl_Employee_Details[[#This Row],[First Name]],".",Tbl_Employee_Details[[#This Row],[Last Name]],"@saregama.com")</f>
        <v>Kerianne.Gibbings@saregama.com</v>
      </c>
      <c r="M231" s="6">
        <f ca="1">(TODAY() - 'Employee Onboarding'!E231)/365.25</f>
        <v>22.362765229295004</v>
      </c>
      <c r="N231">
        <v>410693</v>
      </c>
      <c r="O231" s="13" t="s">
        <v>85</v>
      </c>
      <c r="P231" s="6">
        <f ca="1">YEARFRAC(Tbl_Employee_Details[[#This Row],[Date of Birth]],TODAY())</f>
        <v>26.975000000000001</v>
      </c>
      <c r="Q231" s="13" t="s">
        <v>990</v>
      </c>
      <c r="R231" s="2" t="s">
        <v>949</v>
      </c>
      <c r="S231" s="11" t="str">
        <f>IF(ISNA(VLOOKUP(A231,Tbl_Exit_Formalities[Employee ID],1,FALSE)), "No", "Yes")</f>
        <v>No</v>
      </c>
      <c r="T231" s="22">
        <f ca="1">Tbl_Employee_Details[[#This Row],[Experience in SAREGAMA]]/((SUMIFS(Tbl_Employee_Details[Experience in SAREGAMA],Tbl_Employee_Details[Department],Tbl_Employee_Details[[#This Row],[Department]])))</f>
        <v>1.6577164590462042E-2</v>
      </c>
    </row>
    <row r="232" spans="1:20" x14ac:dyDescent="0.3">
      <c r="A232" s="2">
        <v>106662</v>
      </c>
      <c r="B232" t="s">
        <v>712</v>
      </c>
      <c r="C232" t="s">
        <v>713</v>
      </c>
      <c r="D232" t="s">
        <v>933</v>
      </c>
      <c r="E232" s="3" t="s">
        <v>2110</v>
      </c>
      <c r="F232" s="4" t="s">
        <v>2111</v>
      </c>
      <c r="G232" t="s">
        <v>2482</v>
      </c>
      <c r="H232" t="s">
        <v>2112</v>
      </c>
      <c r="I232" s="12" t="s">
        <v>2113</v>
      </c>
      <c r="J232" s="12" t="s">
        <v>2114</v>
      </c>
      <c r="K232" t="s">
        <v>983</v>
      </c>
      <c r="L232" t="str">
        <f>_xlfn.CONCAT(Tbl_Employee_Details[[#This Row],[First Name]],".",Tbl_Employee_Details[[#This Row],[Last Name]],"@saregama.com")</f>
        <v>Clayson.O'Shee@saregama.com</v>
      </c>
      <c r="M232" s="6">
        <f ca="1">(TODAY() - 'Employee Onboarding'!E232)/365.25</f>
        <v>15.08829568788501</v>
      </c>
      <c r="N232">
        <v>406719</v>
      </c>
      <c r="O232" s="13" t="s">
        <v>22</v>
      </c>
      <c r="P232" s="6">
        <f ca="1">YEARFRAC(Tbl_Employee_Details[[#This Row],[Date of Birth]],TODAY())</f>
        <v>38.783333333333331</v>
      </c>
      <c r="Q232" s="13" t="s">
        <v>990</v>
      </c>
      <c r="R232" s="2" t="s">
        <v>965</v>
      </c>
      <c r="S232" s="11" t="str">
        <f>IF(ISNA(VLOOKUP(A232,Tbl_Exit_Formalities[Employee ID],1,FALSE)), "No", "Yes")</f>
        <v>No</v>
      </c>
      <c r="T232" s="22">
        <f ca="1">Tbl_Employee_Details[[#This Row],[Experience in SAREGAMA]]/((SUMIFS(Tbl_Employee_Details[Experience in SAREGAMA],Tbl_Employee_Details[Department],Tbl_Employee_Details[[#This Row],[Department]])))</f>
        <v>1.1184715237271829E-2</v>
      </c>
    </row>
    <row r="233" spans="1:20" x14ac:dyDescent="0.3">
      <c r="A233" s="2">
        <v>105219</v>
      </c>
      <c r="B233" t="s">
        <v>715</v>
      </c>
      <c r="C233" t="s">
        <v>716</v>
      </c>
      <c r="D233" t="s">
        <v>933</v>
      </c>
      <c r="E233" s="3" t="s">
        <v>2115</v>
      </c>
      <c r="F233" s="4" t="s">
        <v>2116</v>
      </c>
      <c r="G233" t="s">
        <v>2553</v>
      </c>
      <c r="H233" t="s">
        <v>2117</v>
      </c>
      <c r="I233" s="12" t="s">
        <v>2118</v>
      </c>
      <c r="J233" s="12" t="s">
        <v>2119</v>
      </c>
      <c r="K233" t="s">
        <v>989</v>
      </c>
      <c r="L233" t="str">
        <f>_xlfn.CONCAT(Tbl_Employee_Details[[#This Row],[First Name]],".",Tbl_Employee_Details[[#This Row],[Last Name]],"@saregama.com")</f>
        <v>Karim.Prydie@saregama.com</v>
      </c>
      <c r="M233" s="6">
        <f ca="1">(TODAY() - 'Employee Onboarding'!E233)/365.25</f>
        <v>32.071184120465432</v>
      </c>
      <c r="N233">
        <v>101279</v>
      </c>
      <c r="O233" s="13" t="s">
        <v>46</v>
      </c>
      <c r="P233" s="6">
        <f ca="1">YEARFRAC(Tbl_Employee_Details[[#This Row],[Date of Birth]],TODAY())</f>
        <v>38.913888888888891</v>
      </c>
      <c r="Q233" s="13" t="s">
        <v>990</v>
      </c>
      <c r="R233" s="2" t="s">
        <v>941</v>
      </c>
      <c r="S233" s="11" t="str">
        <f>IF(ISNA(VLOOKUP(A233,Tbl_Exit_Formalities[Employee ID],1,FALSE)), "No", "Yes")</f>
        <v>No</v>
      </c>
      <c r="T233" s="22">
        <f ca="1">Tbl_Employee_Details[[#This Row],[Experience in SAREGAMA]]/((SUMIFS(Tbl_Employee_Details[Experience in SAREGAMA],Tbl_Employee_Details[Department],Tbl_Employee_Details[[#This Row],[Department]])))</f>
        <v>2.3773862146507386E-2</v>
      </c>
    </row>
    <row r="234" spans="1:20" x14ac:dyDescent="0.3">
      <c r="A234" s="2">
        <v>107855</v>
      </c>
      <c r="B234" t="s">
        <v>718</v>
      </c>
      <c r="C234" t="s">
        <v>719</v>
      </c>
      <c r="D234" t="s">
        <v>933</v>
      </c>
      <c r="E234" s="3" t="s">
        <v>2120</v>
      </c>
      <c r="F234" s="4" t="s">
        <v>2121</v>
      </c>
      <c r="G234" t="s">
        <v>2488</v>
      </c>
      <c r="H234" t="s">
        <v>2122</v>
      </c>
      <c r="I234" s="12" t="s">
        <v>2123</v>
      </c>
      <c r="J234" s="12" t="s">
        <v>2124</v>
      </c>
      <c r="K234" t="s">
        <v>983</v>
      </c>
      <c r="L234" t="str">
        <f>_xlfn.CONCAT(Tbl_Employee_Details[[#This Row],[First Name]],".",Tbl_Employee_Details[[#This Row],[Last Name]],"@saregama.com")</f>
        <v>Denis.Parratt@saregama.com</v>
      </c>
      <c r="M234" s="6">
        <f ca="1">(TODAY() - 'Employee Onboarding'!E234)/365.25</f>
        <v>13.577002053388091</v>
      </c>
      <c r="N234">
        <v>725026</v>
      </c>
      <c r="O234" s="13" t="s">
        <v>63</v>
      </c>
      <c r="P234" s="6">
        <f ca="1">YEARFRAC(Tbl_Employee_Details[[#This Row],[Date of Birth]],TODAY())</f>
        <v>33.511111111111113</v>
      </c>
      <c r="Q234" s="13" t="s">
        <v>1660</v>
      </c>
      <c r="R234" s="2" t="s">
        <v>996</v>
      </c>
      <c r="S234" s="11" t="str">
        <f>IF(ISNA(VLOOKUP(A234,Tbl_Exit_Formalities[Employee ID],1,FALSE)), "No", "Yes")</f>
        <v>No</v>
      </c>
      <c r="T234" s="22">
        <f ca="1">Tbl_Employee_Details[[#This Row],[Experience in SAREGAMA]]/((SUMIFS(Tbl_Employee_Details[Experience in SAREGAMA],Tbl_Employee_Details[Department],Tbl_Employee_Details[[#This Row],[Department]])))</f>
        <v>3.6896497846030225E-2</v>
      </c>
    </row>
    <row r="235" spans="1:20" x14ac:dyDescent="0.3">
      <c r="A235" s="2">
        <v>102598</v>
      </c>
      <c r="B235" t="s">
        <v>721</v>
      </c>
      <c r="C235" t="s">
        <v>722</v>
      </c>
      <c r="D235" t="s">
        <v>933</v>
      </c>
      <c r="E235" s="3" t="s">
        <v>2125</v>
      </c>
      <c r="F235" s="4" t="s">
        <v>2126</v>
      </c>
      <c r="G235" t="s">
        <v>2498</v>
      </c>
      <c r="H235" t="s">
        <v>2127</v>
      </c>
      <c r="I235" s="12" t="s">
        <v>2128</v>
      </c>
      <c r="J235" s="12" t="s">
        <v>2129</v>
      </c>
      <c r="K235" t="s">
        <v>947</v>
      </c>
      <c r="L235" t="str">
        <f>_xlfn.CONCAT(Tbl_Employee_Details[[#This Row],[First Name]],".",Tbl_Employee_Details[[#This Row],[Last Name]],"@saregama.com")</f>
        <v>Briggs.Bagnal@saregama.com</v>
      </c>
      <c r="M235" s="6">
        <f ca="1">(TODAY() - 'Employee Onboarding'!E235)/365.25</f>
        <v>2.1382614647501712</v>
      </c>
      <c r="N235">
        <v>422293</v>
      </c>
      <c r="O235" s="13" t="s">
        <v>22</v>
      </c>
      <c r="P235" s="6">
        <f ca="1">YEARFRAC(Tbl_Employee_Details[[#This Row],[Date of Birth]],TODAY())</f>
        <v>44.19166666666667</v>
      </c>
      <c r="Q235" s="13" t="s">
        <v>990</v>
      </c>
      <c r="R235" s="2" t="s">
        <v>977</v>
      </c>
      <c r="S235" s="11" t="str">
        <f>IF(ISNA(VLOOKUP(A235,Tbl_Exit_Formalities[Employee ID],1,FALSE)), "No", "Yes")</f>
        <v>No</v>
      </c>
      <c r="T235" s="22">
        <f ca="1">Tbl_Employee_Details[[#This Row],[Experience in SAREGAMA]]/((SUMIFS(Tbl_Employee_Details[Experience in SAREGAMA],Tbl_Employee_Details[Department],Tbl_Employee_Details[[#This Row],[Department]])))</f>
        <v>1.5850594448029939E-3</v>
      </c>
    </row>
    <row r="236" spans="1:20" x14ac:dyDescent="0.3">
      <c r="A236" s="2">
        <v>103568</v>
      </c>
      <c r="B236" t="s">
        <v>724</v>
      </c>
      <c r="C236" t="s">
        <v>725</v>
      </c>
      <c r="D236" t="s">
        <v>933</v>
      </c>
      <c r="E236" s="3" t="s">
        <v>2130</v>
      </c>
      <c r="F236" s="4" t="s">
        <v>2131</v>
      </c>
      <c r="G236" t="s">
        <v>2491</v>
      </c>
      <c r="H236" t="s">
        <v>2132</v>
      </c>
      <c r="I236" s="12" t="s">
        <v>2133</v>
      </c>
      <c r="J236" s="12" t="s">
        <v>2134</v>
      </c>
      <c r="K236" t="s">
        <v>939</v>
      </c>
      <c r="L236" t="str">
        <f>_xlfn.CONCAT(Tbl_Employee_Details[[#This Row],[First Name]],".",Tbl_Employee_Details[[#This Row],[Last Name]],"@saregama.com")</f>
        <v>Stanislaus.Rickis@saregama.com</v>
      </c>
      <c r="M236" s="6">
        <f ca="1">(TODAY() - 'Employee Onboarding'!E236)/365.25</f>
        <v>18.7378507871321</v>
      </c>
      <c r="N236">
        <v>403688</v>
      </c>
      <c r="O236" s="13" t="s">
        <v>85</v>
      </c>
      <c r="P236" s="6">
        <f ca="1">YEARFRAC(Tbl_Employee_Details[[#This Row],[Date of Birth]],TODAY())</f>
        <v>22.875</v>
      </c>
      <c r="Q236" s="13" t="s">
        <v>990</v>
      </c>
      <c r="R236" s="2" t="s">
        <v>996</v>
      </c>
      <c r="S236" s="11" t="str">
        <f>IF(ISNA(VLOOKUP(A236,Tbl_Exit_Formalities[Employee ID],1,FALSE)), "No", "Yes")</f>
        <v>No</v>
      </c>
      <c r="T236" s="22">
        <f ca="1">Tbl_Employee_Details[[#This Row],[Experience in SAREGAMA]]/((SUMIFS(Tbl_Employee_Details[Experience in SAREGAMA],Tbl_Employee_Details[Department],Tbl_Employee_Details[[#This Row],[Department]])))</f>
        <v>1.3890072778785774E-2</v>
      </c>
    </row>
    <row r="237" spans="1:20" x14ac:dyDescent="0.3">
      <c r="A237" s="2">
        <v>103100</v>
      </c>
      <c r="B237" t="s">
        <v>727</v>
      </c>
      <c r="C237" t="s">
        <v>728</v>
      </c>
      <c r="D237" t="s">
        <v>933</v>
      </c>
      <c r="E237" s="3" t="s">
        <v>2135</v>
      </c>
      <c r="F237" s="4" t="s">
        <v>2136</v>
      </c>
      <c r="G237" t="s">
        <v>2486</v>
      </c>
      <c r="H237" t="s">
        <v>2137</v>
      </c>
      <c r="I237" s="12" t="s">
        <v>2138</v>
      </c>
      <c r="J237" s="12" t="s">
        <v>2139</v>
      </c>
      <c r="K237" t="s">
        <v>956</v>
      </c>
      <c r="L237" t="str">
        <f>_xlfn.CONCAT(Tbl_Employee_Details[[#This Row],[First Name]],".",Tbl_Employee_Details[[#This Row],[Last Name]],"@saregama.com")</f>
        <v>Andie.Finnimore@saregama.com</v>
      </c>
      <c r="M237" s="6">
        <f ca="1">(TODAY() - 'Employee Onboarding'!E237)/365.25</f>
        <v>35.682409308692677</v>
      </c>
      <c r="N237">
        <v>658983</v>
      </c>
      <c r="O237" s="13" t="s">
        <v>63</v>
      </c>
      <c r="P237" s="6">
        <f ca="1">YEARFRAC(Tbl_Employee_Details[[#This Row],[Date of Birth]],TODAY())</f>
        <v>40.091666666666669</v>
      </c>
      <c r="Q237" s="13" t="s">
        <v>1559</v>
      </c>
      <c r="R237" s="2" t="s">
        <v>1002</v>
      </c>
      <c r="S237" s="11" t="str">
        <f>IF(ISNA(VLOOKUP(A237,Tbl_Exit_Formalities[Employee ID],1,FALSE)), "No", "Yes")</f>
        <v>No</v>
      </c>
      <c r="T237" s="22">
        <f ca="1">Tbl_Employee_Details[[#This Row],[Experience in SAREGAMA]]/((SUMIFS(Tbl_Employee_Details[Experience in SAREGAMA],Tbl_Employee_Details[Department],Tbl_Employee_Details[[#This Row],[Department]])))</f>
        <v>7.5321763152267532E-2</v>
      </c>
    </row>
    <row r="238" spans="1:20" x14ac:dyDescent="0.3">
      <c r="A238" s="2">
        <v>107551</v>
      </c>
      <c r="B238" t="s">
        <v>730</v>
      </c>
      <c r="C238" t="s">
        <v>731</v>
      </c>
      <c r="D238" t="s">
        <v>950</v>
      </c>
      <c r="E238" s="3" t="s">
        <v>2140</v>
      </c>
      <c r="F238" s="4" t="s">
        <v>2141</v>
      </c>
      <c r="G238" t="s">
        <v>2487</v>
      </c>
      <c r="H238" t="s">
        <v>2142</v>
      </c>
      <c r="I238" s="12" t="s">
        <v>2143</v>
      </c>
      <c r="J238" s="12" t="s">
        <v>2144</v>
      </c>
      <c r="K238" t="s">
        <v>1066</v>
      </c>
      <c r="L238" t="str">
        <f>_xlfn.CONCAT(Tbl_Employee_Details[[#This Row],[First Name]],".",Tbl_Employee_Details[[#This Row],[Last Name]],"@saregama.com")</f>
        <v>Colline.Cleeton@saregama.com</v>
      </c>
      <c r="M238" s="6">
        <f ca="1">(TODAY() - 'Employee Onboarding'!E238)/365.25</f>
        <v>11.761806981519507</v>
      </c>
      <c r="N238">
        <v>338429</v>
      </c>
      <c r="O238" s="13" t="s">
        <v>35</v>
      </c>
      <c r="P238" s="6">
        <f ca="1">YEARFRAC(Tbl_Employee_Details[[#This Row],[Date of Birth]],TODAY())</f>
        <v>33.844444444444441</v>
      </c>
      <c r="Q238" s="13" t="s">
        <v>990</v>
      </c>
      <c r="R238" s="2" t="s">
        <v>949</v>
      </c>
      <c r="S238" s="11" t="str">
        <f>IF(ISNA(VLOOKUP(A238,Tbl_Exit_Formalities[Employee ID],1,FALSE)), "No", "Yes")</f>
        <v>No</v>
      </c>
      <c r="T238" s="22">
        <f ca="1">Tbl_Employee_Details[[#This Row],[Experience in SAREGAMA]]/((SUMIFS(Tbl_Employee_Details[Experience in SAREGAMA],Tbl_Employee_Details[Department],Tbl_Employee_Details[[#This Row],[Department]])))</f>
        <v>8.7188417091852259E-3</v>
      </c>
    </row>
    <row r="239" spans="1:20" x14ac:dyDescent="0.3">
      <c r="A239" s="2">
        <v>103871</v>
      </c>
      <c r="B239" t="s">
        <v>733</v>
      </c>
      <c r="C239" t="s">
        <v>734</v>
      </c>
      <c r="D239" t="s">
        <v>933</v>
      </c>
      <c r="E239" s="3" t="s">
        <v>2145</v>
      </c>
      <c r="F239" s="4" t="s">
        <v>2146</v>
      </c>
      <c r="G239" t="s">
        <v>2563</v>
      </c>
      <c r="H239" t="s">
        <v>2147</v>
      </c>
      <c r="I239" s="12" t="s">
        <v>2148</v>
      </c>
      <c r="J239" s="12" t="s">
        <v>2149</v>
      </c>
      <c r="K239" t="s">
        <v>947</v>
      </c>
      <c r="L239" t="str">
        <f>_xlfn.CONCAT(Tbl_Employee_Details[[#This Row],[First Name]],".",Tbl_Employee_Details[[#This Row],[Last Name]],"@saregama.com")</f>
        <v>Stirling.Trighton@saregama.com</v>
      </c>
      <c r="M239" s="6">
        <f ca="1">(TODAY() - 'Employee Onboarding'!E239)/365.25</f>
        <v>8.3504449007529082</v>
      </c>
      <c r="N239">
        <v>1294030</v>
      </c>
      <c r="O239" s="13" t="s">
        <v>51</v>
      </c>
      <c r="P239" s="6">
        <f ca="1">YEARFRAC(Tbl_Employee_Details[[#This Row],[Date of Birth]],TODAY())</f>
        <v>37.024999999999999</v>
      </c>
      <c r="Q239" s="13" t="s">
        <v>1559</v>
      </c>
      <c r="R239" s="2" t="s">
        <v>996</v>
      </c>
      <c r="S239" s="11" t="str">
        <f>IF(ISNA(VLOOKUP(A239,Tbl_Exit_Formalities[Employee ID],1,FALSE)), "No", "Yes")</f>
        <v>No</v>
      </c>
      <c r="T239" s="22">
        <f ca="1">Tbl_Employee_Details[[#This Row],[Experience in SAREGAMA]]/((SUMIFS(Tbl_Employee_Details[Experience in SAREGAMA],Tbl_Employee_Details[Department],Tbl_Employee_Details[[#This Row],[Department]])))</f>
        <v>1.7626899226150228E-2</v>
      </c>
    </row>
    <row r="240" spans="1:20" x14ac:dyDescent="0.3">
      <c r="A240" s="2">
        <v>106672</v>
      </c>
      <c r="B240" t="s">
        <v>736</v>
      </c>
      <c r="C240" t="s">
        <v>737</v>
      </c>
      <c r="D240" t="s">
        <v>950</v>
      </c>
      <c r="E240" s="3" t="s">
        <v>2150</v>
      </c>
      <c r="F240" s="4" t="s">
        <v>2151</v>
      </c>
      <c r="G240" t="s">
        <v>2563</v>
      </c>
      <c r="H240" t="s">
        <v>2152</v>
      </c>
      <c r="I240" s="12" t="s">
        <v>2153</v>
      </c>
      <c r="J240" s="12" t="s">
        <v>2154</v>
      </c>
      <c r="K240" t="s">
        <v>983</v>
      </c>
      <c r="L240" t="str">
        <f>_xlfn.CONCAT(Tbl_Employee_Details[[#This Row],[First Name]],".",Tbl_Employee_Details[[#This Row],[Last Name]],"@saregama.com")</f>
        <v>Bobbe.Boshard@saregama.com</v>
      </c>
      <c r="M240" s="6">
        <f ca="1">(TODAY() - 'Employee Onboarding'!E240)/365.25</f>
        <v>28.2217659137577</v>
      </c>
      <c r="N240">
        <v>386982</v>
      </c>
      <c r="O240" s="13" t="s">
        <v>85</v>
      </c>
      <c r="P240" s="6">
        <f ca="1">YEARFRAC(Tbl_Employee_Details[[#This Row],[Date of Birth]],TODAY())</f>
        <v>36.258333333333333</v>
      </c>
      <c r="Q240" s="13" t="s">
        <v>990</v>
      </c>
      <c r="R240" s="2" t="s">
        <v>965</v>
      </c>
      <c r="S240" s="11" t="str">
        <f>IF(ISNA(VLOOKUP(A240,Tbl_Exit_Formalities[Employee ID],1,FALSE)), "No", "Yes")</f>
        <v>No</v>
      </c>
      <c r="T240" s="22">
        <f ca="1">Tbl_Employee_Details[[#This Row],[Experience in SAREGAMA]]/((SUMIFS(Tbl_Employee_Details[Experience in SAREGAMA],Tbl_Employee_Details[Department],Tbl_Employee_Details[[#This Row],[Department]])))</f>
        <v>2.0920349240754494E-2</v>
      </c>
    </row>
    <row r="241" spans="1:20" x14ac:dyDescent="0.3">
      <c r="A241" s="2">
        <v>102074</v>
      </c>
      <c r="B241" t="s">
        <v>739</v>
      </c>
      <c r="C241" t="s">
        <v>740</v>
      </c>
      <c r="D241" t="s">
        <v>933</v>
      </c>
      <c r="E241" s="3" t="s">
        <v>2155</v>
      </c>
      <c r="F241" s="4" t="s">
        <v>2156</v>
      </c>
      <c r="G241" t="s">
        <v>2503</v>
      </c>
      <c r="H241" t="s">
        <v>2157</v>
      </c>
      <c r="I241" s="12" t="s">
        <v>2158</v>
      </c>
      <c r="J241" s="12" t="s">
        <v>2159</v>
      </c>
      <c r="K241" t="s">
        <v>956</v>
      </c>
      <c r="L241" t="str">
        <f>_xlfn.CONCAT(Tbl_Employee_Details[[#This Row],[First Name]],".",Tbl_Employee_Details[[#This Row],[Last Name]],"@saregama.com")</f>
        <v>Randie.McGreary@saregama.com</v>
      </c>
      <c r="M241" s="6">
        <f ca="1">(TODAY() - 'Employee Onboarding'!E241)/365.25</f>
        <v>11.241615331964407</v>
      </c>
      <c r="N241">
        <v>535461</v>
      </c>
      <c r="O241" s="13" t="s">
        <v>63</v>
      </c>
      <c r="P241" s="6">
        <f ca="1">YEARFRAC(Tbl_Employee_Details[[#This Row],[Date of Birth]],TODAY())</f>
        <v>30.277777777777779</v>
      </c>
      <c r="Q241" s="13" t="s">
        <v>976</v>
      </c>
      <c r="R241" s="2" t="s">
        <v>949</v>
      </c>
      <c r="S241" s="11" t="str">
        <f>IF(ISNA(VLOOKUP(A241,Tbl_Exit_Formalities[Employee ID],1,FALSE)), "No", "Yes")</f>
        <v>No</v>
      </c>
      <c r="T241" s="22">
        <f ca="1">Tbl_Employee_Details[[#This Row],[Experience in SAREGAMA]]/((SUMIFS(Tbl_Employee_Details[Experience in SAREGAMA],Tbl_Employee_Details[Department],Tbl_Employee_Details[[#This Row],[Department]])))</f>
        <v>3.8393566786666042E-2</v>
      </c>
    </row>
    <row r="242" spans="1:20" x14ac:dyDescent="0.3">
      <c r="A242" s="2">
        <v>105574</v>
      </c>
      <c r="B242" t="s">
        <v>742</v>
      </c>
      <c r="C242" t="s">
        <v>743</v>
      </c>
      <c r="D242" t="s">
        <v>933</v>
      </c>
      <c r="E242" s="3" t="s">
        <v>2160</v>
      </c>
      <c r="F242" s="4" t="s">
        <v>2161</v>
      </c>
      <c r="G242" t="s">
        <v>2554</v>
      </c>
      <c r="H242" t="s">
        <v>2162</v>
      </c>
      <c r="I242" s="12" t="s">
        <v>2163</v>
      </c>
      <c r="J242" s="12" t="s">
        <v>2164</v>
      </c>
      <c r="K242" t="s">
        <v>947</v>
      </c>
      <c r="L242" t="str">
        <f>_xlfn.CONCAT(Tbl_Employee_Details[[#This Row],[First Name]],".",Tbl_Employee_Details[[#This Row],[Last Name]],"@saregama.com")</f>
        <v>Drud.Siggin@saregama.com</v>
      </c>
      <c r="M242" s="6">
        <f ca="1">(TODAY() - 'Employee Onboarding'!E242)/365.25</f>
        <v>28.024640657084188</v>
      </c>
      <c r="N242">
        <v>694898</v>
      </c>
      <c r="O242" s="13" t="s">
        <v>63</v>
      </c>
      <c r="P242" s="6">
        <f ca="1">YEARFRAC(Tbl_Employee_Details[[#This Row],[Date of Birth]],TODAY())</f>
        <v>34.80833333333333</v>
      </c>
      <c r="Q242" s="13" t="s">
        <v>957</v>
      </c>
      <c r="R242" s="2" t="s">
        <v>977</v>
      </c>
      <c r="S242" s="11" t="str">
        <f>IF(ISNA(VLOOKUP(A242,Tbl_Exit_Formalities[Employee ID],1,FALSE)), "No", "Yes")</f>
        <v>No</v>
      </c>
      <c r="T242" s="22">
        <f ca="1">Tbl_Employee_Details[[#This Row],[Experience in SAREGAMA]]/((SUMIFS(Tbl_Employee_Details[Experience in SAREGAMA],Tbl_Employee_Details[Department],Tbl_Employee_Details[[#This Row],[Department]])))</f>
        <v>0.18640055359289068</v>
      </c>
    </row>
    <row r="243" spans="1:20" x14ac:dyDescent="0.3">
      <c r="A243" s="2">
        <v>106500</v>
      </c>
      <c r="B243" t="s">
        <v>745</v>
      </c>
      <c r="C243" t="s">
        <v>746</v>
      </c>
      <c r="D243" t="s">
        <v>933</v>
      </c>
      <c r="E243" s="3" t="s">
        <v>2165</v>
      </c>
      <c r="F243" s="4" t="s">
        <v>2166</v>
      </c>
      <c r="G243" t="s">
        <v>2488</v>
      </c>
      <c r="H243" t="s">
        <v>2167</v>
      </c>
      <c r="I243" s="12" t="s">
        <v>2168</v>
      </c>
      <c r="J243" s="12" t="s">
        <v>2169</v>
      </c>
      <c r="K243" t="s">
        <v>939</v>
      </c>
      <c r="L243" t="str">
        <f>_xlfn.CONCAT(Tbl_Employee_Details[[#This Row],[First Name]],".",Tbl_Employee_Details[[#This Row],[Last Name]],"@saregama.com")</f>
        <v>Giffard.Walkey@saregama.com</v>
      </c>
      <c r="M243" s="6">
        <f ca="1">(TODAY() - 'Employee Onboarding'!E243)/365.25</f>
        <v>20.035592060232716</v>
      </c>
      <c r="N243">
        <v>164525</v>
      </c>
      <c r="O243" s="13" t="s">
        <v>13</v>
      </c>
      <c r="P243" s="6">
        <f ca="1">YEARFRAC(Tbl_Employee_Details[[#This Row],[Date of Birth]],TODAY())</f>
        <v>32.93611111111111</v>
      </c>
      <c r="Q243" s="13" t="s">
        <v>990</v>
      </c>
      <c r="R243" s="2" t="s">
        <v>1019</v>
      </c>
      <c r="S243" s="11" t="str">
        <f>IF(ISNA(VLOOKUP(A243,Tbl_Exit_Formalities[Employee ID],1,FALSE)), "No", "Yes")</f>
        <v>No</v>
      </c>
      <c r="T243" s="22">
        <f ca="1">Tbl_Employee_Details[[#This Row],[Experience in SAREGAMA]]/((SUMIFS(Tbl_Employee_Details[Experience in SAREGAMA],Tbl_Employee_Details[Department],Tbl_Employee_Details[[#This Row],[Department]])))</f>
        <v>1.4852067883570177E-2</v>
      </c>
    </row>
    <row r="244" spans="1:20" x14ac:dyDescent="0.3">
      <c r="A244" s="2">
        <v>107555</v>
      </c>
      <c r="B244" t="s">
        <v>748</v>
      </c>
      <c r="C244" t="s">
        <v>749</v>
      </c>
      <c r="D244" t="s">
        <v>950</v>
      </c>
      <c r="E244" s="3" t="s">
        <v>2170</v>
      </c>
      <c r="F244" s="4" t="s">
        <v>2171</v>
      </c>
      <c r="G244" t="s">
        <v>2486</v>
      </c>
      <c r="H244" t="s">
        <v>2172</v>
      </c>
      <c r="I244" s="12" t="s">
        <v>2173</v>
      </c>
      <c r="J244" s="12" t="s">
        <v>2174</v>
      </c>
      <c r="K244" t="s">
        <v>939</v>
      </c>
      <c r="L244" t="str">
        <f>_xlfn.CONCAT(Tbl_Employee_Details[[#This Row],[First Name]],".",Tbl_Employee_Details[[#This Row],[Last Name]],"@saregama.com")</f>
        <v>Tasia.Stitch@saregama.com</v>
      </c>
      <c r="M244" s="6">
        <f ca="1">(TODAY() - 'Employee Onboarding'!E244)/365.25</f>
        <v>18.800821355236138</v>
      </c>
      <c r="N244">
        <v>445061</v>
      </c>
      <c r="O244" s="13" t="s">
        <v>85</v>
      </c>
      <c r="P244" s="6">
        <f ca="1">YEARFRAC(Tbl_Employee_Details[[#This Row],[Date of Birth]],TODAY())</f>
        <v>25.111111111111111</v>
      </c>
      <c r="Q244" s="13" t="s">
        <v>990</v>
      </c>
      <c r="R244" s="2" t="s">
        <v>965</v>
      </c>
      <c r="S244" s="11" t="str">
        <f>IF(ISNA(VLOOKUP(A244,Tbl_Exit_Formalities[Employee ID],1,FALSE)), "No", "Yes")</f>
        <v>No</v>
      </c>
      <c r="T244" s="22">
        <f ca="1">Tbl_Employee_Details[[#This Row],[Experience in SAREGAMA]]/((SUMIFS(Tbl_Employee_Details[Experience in SAREGAMA],Tbl_Employee_Details[Department],Tbl_Employee_Details[[#This Row],[Department]])))</f>
        <v>1.393675186614873E-2</v>
      </c>
    </row>
    <row r="245" spans="1:20" x14ac:dyDescent="0.3">
      <c r="A245" s="2">
        <v>107054</v>
      </c>
      <c r="B245" t="s">
        <v>751</v>
      </c>
      <c r="C245" t="s">
        <v>752</v>
      </c>
      <c r="D245" t="s">
        <v>950</v>
      </c>
      <c r="E245" s="3" t="s">
        <v>2175</v>
      </c>
      <c r="F245" s="4" t="s">
        <v>2176</v>
      </c>
      <c r="G245" t="s">
        <v>2563</v>
      </c>
      <c r="H245" t="s">
        <v>2177</v>
      </c>
      <c r="I245" s="12" t="s">
        <v>2178</v>
      </c>
      <c r="J245" s="12" t="s">
        <v>2179</v>
      </c>
      <c r="K245" t="s">
        <v>1013</v>
      </c>
      <c r="L245" t="str">
        <f>_xlfn.CONCAT(Tbl_Employee_Details[[#This Row],[First Name]],".",Tbl_Employee_Details[[#This Row],[Last Name]],"@saregama.com")</f>
        <v>Brandea.Matveichev@saregama.com</v>
      </c>
      <c r="M245" s="6">
        <f ca="1">(TODAY() - 'Employee Onboarding'!E245)/365.25</f>
        <v>5.3716632443531829</v>
      </c>
      <c r="N245">
        <v>320891</v>
      </c>
      <c r="O245" s="13" t="s">
        <v>35</v>
      </c>
      <c r="P245" s="6">
        <f ca="1">YEARFRAC(Tbl_Employee_Details[[#This Row],[Date of Birth]],TODAY())</f>
        <v>28.572222222222223</v>
      </c>
      <c r="Q245" s="13" t="s">
        <v>990</v>
      </c>
      <c r="R245" s="2" t="s">
        <v>996</v>
      </c>
      <c r="S245" s="11" t="str">
        <f>IF(ISNA(VLOOKUP(A245,Tbl_Exit_Formalities[Employee ID],1,FALSE)), "No", "Yes")</f>
        <v>No</v>
      </c>
      <c r="T245" s="22">
        <f ca="1">Tbl_Employee_Details[[#This Row],[Experience in SAREGAMA]]/((SUMIFS(Tbl_Employee_Details[Experience in SAREGAMA],Tbl_Employee_Details[Department],Tbl_Employee_Details[[#This Row],[Department]])))</f>
        <v>3.9819291046139229E-3</v>
      </c>
    </row>
    <row r="246" spans="1:20" x14ac:dyDescent="0.3">
      <c r="A246" s="2">
        <v>104006</v>
      </c>
      <c r="B246" t="s">
        <v>754</v>
      </c>
      <c r="C246" t="s">
        <v>755</v>
      </c>
      <c r="D246" t="s">
        <v>950</v>
      </c>
      <c r="E246" s="3" t="s">
        <v>2180</v>
      </c>
      <c r="F246" s="4" t="s">
        <v>2181</v>
      </c>
      <c r="G246" t="s">
        <v>2515</v>
      </c>
      <c r="H246" t="s">
        <v>2182</v>
      </c>
      <c r="I246" s="12" t="s">
        <v>2183</v>
      </c>
      <c r="J246" s="12" t="s">
        <v>2184</v>
      </c>
      <c r="K246" t="s">
        <v>947</v>
      </c>
      <c r="L246" t="str">
        <f>_xlfn.CONCAT(Tbl_Employee_Details[[#This Row],[First Name]],".",Tbl_Employee_Details[[#This Row],[Last Name]],"@saregama.com")</f>
        <v>Maurita.Klassman@saregama.com</v>
      </c>
      <c r="M246" s="6">
        <f ca="1">(TODAY() - 'Employee Onboarding'!E246)/365.25</f>
        <v>5.4647501711156741</v>
      </c>
      <c r="N246">
        <v>378778</v>
      </c>
      <c r="O246" s="13" t="s">
        <v>22</v>
      </c>
      <c r="P246" s="6">
        <f ca="1">YEARFRAC(Tbl_Employee_Details[[#This Row],[Date of Birth]],TODAY())</f>
        <v>29.219444444444445</v>
      </c>
      <c r="Q246" s="13" t="s">
        <v>990</v>
      </c>
      <c r="R246" s="2" t="s">
        <v>977</v>
      </c>
      <c r="S246" s="11" t="str">
        <f>IF(ISNA(VLOOKUP(A246,Tbl_Exit_Formalities[Employee ID],1,FALSE)), "No", "Yes")</f>
        <v>No</v>
      </c>
      <c r="T246" s="22">
        <f ca="1">Tbl_Employee_Details[[#This Row],[Experience in SAREGAMA]]/((SUMIFS(Tbl_Employee_Details[Experience in SAREGAMA],Tbl_Employee_Details[Department],Tbl_Employee_Details[[#This Row],[Department]])))</f>
        <v>4.0509329728895972E-3</v>
      </c>
    </row>
    <row r="247" spans="1:20" x14ac:dyDescent="0.3">
      <c r="A247" s="2">
        <v>106477</v>
      </c>
      <c r="B247" t="s">
        <v>757</v>
      </c>
      <c r="C247" t="s">
        <v>758</v>
      </c>
      <c r="D247" t="s">
        <v>950</v>
      </c>
      <c r="E247" s="3" t="s">
        <v>2185</v>
      </c>
      <c r="F247" s="4" t="s">
        <v>2186</v>
      </c>
      <c r="G247" t="s">
        <v>2525</v>
      </c>
      <c r="H247" t="s">
        <v>2187</v>
      </c>
      <c r="I247" s="12" t="s">
        <v>2188</v>
      </c>
      <c r="J247" s="12" t="s">
        <v>2189</v>
      </c>
      <c r="K247" t="s">
        <v>956</v>
      </c>
      <c r="L247" t="str">
        <f>_xlfn.CONCAT(Tbl_Employee_Details[[#This Row],[First Name]],".",Tbl_Employee_Details[[#This Row],[Last Name]],"@saregama.com")</f>
        <v>Corine.Tonbridge@saregama.com</v>
      </c>
      <c r="M247" s="6">
        <f ca="1">(TODAY() - 'Employee Onboarding'!E247)/365.25</f>
        <v>2.001368925393566</v>
      </c>
      <c r="N247">
        <v>791909</v>
      </c>
      <c r="O247" s="13" t="s">
        <v>63</v>
      </c>
      <c r="P247" s="6">
        <f ca="1">YEARFRAC(Tbl_Employee_Details[[#This Row],[Date of Birth]],TODAY())</f>
        <v>19.7</v>
      </c>
      <c r="Q247" s="13" t="s">
        <v>964</v>
      </c>
      <c r="R247" s="2" t="s">
        <v>996</v>
      </c>
      <c r="S247" s="11" t="str">
        <f>IF(ISNA(VLOOKUP(A247,Tbl_Exit_Formalities[Employee ID],1,FALSE)), "No", "Yes")</f>
        <v>No</v>
      </c>
      <c r="T247" s="22">
        <f ca="1">Tbl_Employee_Details[[#This Row],[Experience in SAREGAMA]]/((SUMIFS(Tbl_Employee_Details[Experience in SAREGAMA],Tbl_Employee_Details[Department],Tbl_Employee_Details[[#This Row],[Department]])))</f>
        <v>5.6594716794153158E-3</v>
      </c>
    </row>
    <row r="248" spans="1:20" x14ac:dyDescent="0.3">
      <c r="A248" s="2">
        <v>106959</v>
      </c>
      <c r="B248" t="s">
        <v>760</v>
      </c>
      <c r="C248" t="s">
        <v>761</v>
      </c>
      <c r="D248" t="s">
        <v>950</v>
      </c>
      <c r="E248" s="3" t="s">
        <v>2190</v>
      </c>
      <c r="F248" s="4" t="s">
        <v>2191</v>
      </c>
      <c r="G248" t="s">
        <v>2486</v>
      </c>
      <c r="H248" t="s">
        <v>2192</v>
      </c>
      <c r="I248" s="12" t="s">
        <v>2193</v>
      </c>
      <c r="J248" s="12" t="s">
        <v>2194</v>
      </c>
      <c r="K248" t="s">
        <v>939</v>
      </c>
      <c r="L248" t="str">
        <f>_xlfn.CONCAT(Tbl_Employee_Details[[#This Row],[First Name]],".",Tbl_Employee_Details[[#This Row],[Last Name]],"@saregama.com")</f>
        <v>Junia.Addess@saregama.com</v>
      </c>
      <c r="M248" s="6">
        <f ca="1">(TODAY() - 'Employee Onboarding'!E248)/365.25</f>
        <v>1.6673511293634498</v>
      </c>
      <c r="N248">
        <v>1250875</v>
      </c>
      <c r="O248" s="13" t="s">
        <v>51</v>
      </c>
      <c r="P248" s="6">
        <f ca="1">YEARFRAC(Tbl_Employee_Details[[#This Row],[Date of Birth]],TODAY())</f>
        <v>42.230555555555554</v>
      </c>
      <c r="Q248" s="13" t="s">
        <v>1660</v>
      </c>
      <c r="R248" s="2" t="s">
        <v>996</v>
      </c>
      <c r="S248" s="11" t="str">
        <f>IF(ISNA(VLOOKUP(A248,Tbl_Exit_Formalities[Employee ID],1,FALSE)), "No", "Yes")</f>
        <v>No</v>
      </c>
      <c r="T248" s="22">
        <f ca="1">Tbl_Employee_Details[[#This Row],[Experience in SAREGAMA]]/((SUMIFS(Tbl_Employee_Details[Experience in SAREGAMA],Tbl_Employee_Details[Department],Tbl_Employee_Details[[#This Row],[Department]])))</f>
        <v>4.5311488582844136E-3</v>
      </c>
    </row>
    <row r="249" spans="1:20" x14ac:dyDescent="0.3">
      <c r="A249" s="2">
        <v>105802</v>
      </c>
      <c r="B249" t="s">
        <v>763</v>
      </c>
      <c r="C249" t="s">
        <v>764</v>
      </c>
      <c r="D249" t="s">
        <v>950</v>
      </c>
      <c r="E249" s="3" t="s">
        <v>2195</v>
      </c>
      <c r="F249" s="4" t="s">
        <v>2196</v>
      </c>
      <c r="G249" t="s">
        <v>2514</v>
      </c>
      <c r="H249" t="s">
        <v>2197</v>
      </c>
      <c r="I249" s="12" t="s">
        <v>2198</v>
      </c>
      <c r="J249" s="12" t="s">
        <v>2199</v>
      </c>
      <c r="K249" t="s">
        <v>1066</v>
      </c>
      <c r="L249" t="str">
        <f>_xlfn.CONCAT(Tbl_Employee_Details[[#This Row],[First Name]],".",Tbl_Employee_Details[[#This Row],[Last Name]],"@saregama.com")</f>
        <v>Estel.Bris@saregama.com</v>
      </c>
      <c r="M249" s="6">
        <f ca="1">(TODAY() - 'Employee Onboarding'!E249)/365.25</f>
        <v>17.221081451060918</v>
      </c>
      <c r="N249">
        <v>465667</v>
      </c>
      <c r="O249" s="13" t="s">
        <v>22</v>
      </c>
      <c r="P249" s="6">
        <f ca="1">YEARFRAC(Tbl_Employee_Details[[#This Row],[Date of Birth]],TODAY())</f>
        <v>30.469444444444445</v>
      </c>
      <c r="Q249" s="13" t="s">
        <v>990</v>
      </c>
      <c r="R249" s="2" t="s">
        <v>949</v>
      </c>
      <c r="S249" s="11" t="str">
        <f>IF(ISNA(VLOOKUP(A249,Tbl_Exit_Formalities[Employee ID],1,FALSE)), "No", "Yes")</f>
        <v>No</v>
      </c>
      <c r="T249" s="22">
        <f ca="1">Tbl_Employee_Details[[#This Row],[Experience in SAREGAMA]]/((SUMIFS(Tbl_Employee_Details[Experience in SAREGAMA],Tbl_Employee_Details[Department],Tbl_Employee_Details[[#This Row],[Department]])))</f>
        <v>1.2765715630999784E-2</v>
      </c>
    </row>
    <row r="250" spans="1:20" x14ac:dyDescent="0.3">
      <c r="A250" s="2">
        <v>106658</v>
      </c>
      <c r="B250" t="s">
        <v>766</v>
      </c>
      <c r="C250" t="s">
        <v>767</v>
      </c>
      <c r="D250" t="s">
        <v>950</v>
      </c>
      <c r="E250" s="3" t="s">
        <v>2200</v>
      </c>
      <c r="F250" s="4" t="s">
        <v>2201</v>
      </c>
      <c r="G250" t="s">
        <v>2508</v>
      </c>
      <c r="H250" t="s">
        <v>2202</v>
      </c>
      <c r="I250" s="12" t="s">
        <v>2203</v>
      </c>
      <c r="J250" s="12" t="s">
        <v>2204</v>
      </c>
      <c r="K250" t="s">
        <v>947</v>
      </c>
      <c r="L250" t="str">
        <f>_xlfn.CONCAT(Tbl_Employee_Details[[#This Row],[First Name]],".",Tbl_Employee_Details[[#This Row],[Last Name]],"@saregama.com")</f>
        <v>Pru.Nurse@saregama.com</v>
      </c>
      <c r="M250" s="6">
        <f ca="1">(TODAY() - 'Employee Onboarding'!E250)/365.25</f>
        <v>30.480492813141684</v>
      </c>
      <c r="N250">
        <v>195686</v>
      </c>
      <c r="O250" s="13" t="s">
        <v>113</v>
      </c>
      <c r="P250" s="6">
        <f ca="1">YEARFRAC(Tbl_Employee_Details[[#This Row],[Date of Birth]],TODAY())</f>
        <v>32.866666666666667</v>
      </c>
      <c r="Q250" s="13" t="s">
        <v>990</v>
      </c>
      <c r="R250" s="2" t="s">
        <v>996</v>
      </c>
      <c r="S250" s="11" t="str">
        <f>IF(ISNA(VLOOKUP(A250,Tbl_Exit_Formalities[Employee ID],1,FALSE)), "No", "Yes")</f>
        <v>No</v>
      </c>
      <c r="T250" s="22">
        <f ca="1">Tbl_Employee_Details[[#This Row],[Experience in SAREGAMA]]/((SUMIFS(Tbl_Employee_Details[Experience in SAREGAMA],Tbl_Employee_Details[Department],Tbl_Employee_Details[[#This Row],[Department]])))</f>
        <v>2.2594707809208362E-2</v>
      </c>
    </row>
    <row r="251" spans="1:20" x14ac:dyDescent="0.3">
      <c r="A251" s="2">
        <v>106794</v>
      </c>
      <c r="B251" t="s">
        <v>769</v>
      </c>
      <c r="C251" t="s">
        <v>770</v>
      </c>
      <c r="D251" t="s">
        <v>933</v>
      </c>
      <c r="E251" s="3" t="s">
        <v>2205</v>
      </c>
      <c r="F251" s="4" t="s">
        <v>2206</v>
      </c>
      <c r="G251" t="s">
        <v>2509</v>
      </c>
      <c r="H251" t="s">
        <v>2207</v>
      </c>
      <c r="I251" s="12" t="s">
        <v>2208</v>
      </c>
      <c r="J251" s="12" t="s">
        <v>2209</v>
      </c>
      <c r="K251" t="s">
        <v>983</v>
      </c>
      <c r="L251" t="str">
        <f>_xlfn.CONCAT(Tbl_Employee_Details[[#This Row],[First Name]],".",Tbl_Employee_Details[[#This Row],[Last Name]],"@saregama.com")</f>
        <v>Keene.Pate@saregama.com</v>
      </c>
      <c r="M251" s="6">
        <f ca="1">(TODAY() - 'Employee Onboarding'!E251)/365.25</f>
        <v>21.336071184120467</v>
      </c>
      <c r="N251">
        <v>81326</v>
      </c>
      <c r="O251" s="13" t="s">
        <v>113</v>
      </c>
      <c r="P251" s="6">
        <f ca="1">YEARFRAC(Tbl_Employee_Details[[#This Row],[Date of Birth]],TODAY())</f>
        <v>25.75</v>
      </c>
      <c r="Q251" s="13" t="s">
        <v>990</v>
      </c>
      <c r="R251" s="2" t="s">
        <v>996</v>
      </c>
      <c r="S251" s="11" t="str">
        <f>IF(ISNA(VLOOKUP(A251,Tbl_Exit_Formalities[Employee ID],1,FALSE)), "No", "Yes")</f>
        <v>No</v>
      </c>
      <c r="T251" s="22">
        <f ca="1">Tbl_Employee_Details[[#This Row],[Experience in SAREGAMA]]/((SUMIFS(Tbl_Employee_Details[Experience in SAREGAMA],Tbl_Employee_Details[Department],Tbl_Employee_Details[[#This Row],[Department]])))</f>
        <v>1.5816092513892103E-2</v>
      </c>
    </row>
    <row r="252" spans="1:20" x14ac:dyDescent="0.3">
      <c r="A252" s="2">
        <v>105924</v>
      </c>
      <c r="B252" t="s">
        <v>772</v>
      </c>
      <c r="C252" t="s">
        <v>773</v>
      </c>
      <c r="D252" t="s">
        <v>950</v>
      </c>
      <c r="E252" s="3" t="s">
        <v>2210</v>
      </c>
      <c r="F252" s="4" t="s">
        <v>2211</v>
      </c>
      <c r="G252" t="s">
        <v>2482</v>
      </c>
      <c r="H252" t="s">
        <v>2212</v>
      </c>
      <c r="I252" s="12" t="s">
        <v>2213</v>
      </c>
      <c r="J252" s="12" t="s">
        <v>2214</v>
      </c>
      <c r="K252" t="s">
        <v>939</v>
      </c>
      <c r="L252" t="str">
        <f>_xlfn.CONCAT(Tbl_Employee_Details[[#This Row],[First Name]],".",Tbl_Employee_Details[[#This Row],[Last Name]],"@saregama.com")</f>
        <v>Nelie.Elster@saregama.com</v>
      </c>
      <c r="M252" s="6">
        <f ca="1">(TODAY() - 'Employee Onboarding'!E252)/365.25</f>
        <v>0.58042436687200549</v>
      </c>
      <c r="N252">
        <v>792235</v>
      </c>
      <c r="O252" s="13" t="s">
        <v>51</v>
      </c>
      <c r="P252" s="6">
        <f ca="1">YEARFRAC(Tbl_Employee_Details[[#This Row],[Date of Birth]],TODAY())</f>
        <v>26.652777777777779</v>
      </c>
      <c r="Q252" s="13" t="s">
        <v>948</v>
      </c>
      <c r="R252" s="2" t="s">
        <v>996</v>
      </c>
      <c r="S252" s="11" t="str">
        <f>IF(ISNA(VLOOKUP(A252,Tbl_Exit_Formalities[Employee ID],1,FALSE)), "No", "Yes")</f>
        <v>No</v>
      </c>
      <c r="T252" s="22">
        <f ca="1">Tbl_Employee_Details[[#This Row],[Experience in SAREGAMA]]/((SUMIFS(Tbl_Employee_Details[Experience in SAREGAMA],Tbl_Employee_Details[Department],Tbl_Employee_Details[[#This Row],[Department]])))</f>
        <v>1.4922221440135147E-3</v>
      </c>
    </row>
    <row r="253" spans="1:20" x14ac:dyDescent="0.3">
      <c r="A253" s="2">
        <v>103415</v>
      </c>
      <c r="B253" t="s">
        <v>775</v>
      </c>
      <c r="C253" t="s">
        <v>776</v>
      </c>
      <c r="D253" t="s">
        <v>950</v>
      </c>
      <c r="E253" s="3" t="s">
        <v>2215</v>
      </c>
      <c r="F253" s="4" t="s">
        <v>2216</v>
      </c>
      <c r="G253" t="s">
        <v>2490</v>
      </c>
      <c r="H253" t="s">
        <v>2217</v>
      </c>
      <c r="I253" s="12" t="s">
        <v>2218</v>
      </c>
      <c r="J253" s="12" t="s">
        <v>2219</v>
      </c>
      <c r="K253" t="s">
        <v>956</v>
      </c>
      <c r="L253" t="str">
        <f>_xlfn.CONCAT(Tbl_Employee_Details[[#This Row],[First Name]],".",Tbl_Employee_Details[[#This Row],[Last Name]],"@saregama.com")</f>
        <v>Jilli.Errichelli@saregama.com</v>
      </c>
      <c r="M253" s="6">
        <f ca="1">(TODAY() - 'Employee Onboarding'!E253)/365.25</f>
        <v>39.663244353182755</v>
      </c>
      <c r="N253">
        <v>475930</v>
      </c>
      <c r="O253" s="13" t="s">
        <v>85</v>
      </c>
      <c r="P253" s="6">
        <f ca="1">YEARFRAC(Tbl_Employee_Details[[#This Row],[Date of Birth]],TODAY())</f>
        <v>42.580555555555556</v>
      </c>
      <c r="Q253" s="13" t="s">
        <v>990</v>
      </c>
      <c r="R253" s="2" t="s">
        <v>996</v>
      </c>
      <c r="S253" s="11" t="str">
        <f>IF(ISNA(VLOOKUP(A253,Tbl_Exit_Formalities[Employee ID],1,FALSE)), "No", "Yes")</f>
        <v>No</v>
      </c>
      <c r="T253" s="22">
        <f ca="1">Tbl_Employee_Details[[#This Row],[Experience in SAREGAMA]]/((SUMIFS(Tbl_Employee_Details[Experience in SAREGAMA],Tbl_Employee_Details[Department],Tbl_Employee_Details[[#This Row],[Department]])))</f>
        <v>2.9401736462049903E-2</v>
      </c>
    </row>
    <row r="254" spans="1:20" x14ac:dyDescent="0.3">
      <c r="A254" s="2">
        <v>107103</v>
      </c>
      <c r="B254" t="s">
        <v>778</v>
      </c>
      <c r="C254" t="s">
        <v>779</v>
      </c>
      <c r="D254" t="s">
        <v>950</v>
      </c>
      <c r="E254" s="3" t="s">
        <v>2220</v>
      </c>
      <c r="F254" s="4" t="s">
        <v>2221</v>
      </c>
      <c r="G254" t="s">
        <v>2488</v>
      </c>
      <c r="H254" t="s">
        <v>2222</v>
      </c>
      <c r="I254" s="12" t="s">
        <v>2223</v>
      </c>
      <c r="J254" s="12" t="s">
        <v>2224</v>
      </c>
      <c r="K254" t="s">
        <v>1013</v>
      </c>
      <c r="L254" t="str">
        <f>_xlfn.CONCAT(Tbl_Employee_Details[[#This Row],[First Name]],".",Tbl_Employee_Details[[#This Row],[Last Name]],"@saregama.com")</f>
        <v>Flori.Tomkys@saregama.com</v>
      </c>
      <c r="M254" s="6">
        <f ca="1">(TODAY() - 'Employee Onboarding'!E254)/365.25</f>
        <v>36.243668720054757</v>
      </c>
      <c r="N254">
        <v>690909</v>
      </c>
      <c r="O254" s="13" t="s">
        <v>129</v>
      </c>
      <c r="P254" s="6">
        <f ca="1">YEARFRAC(Tbl_Employee_Details[[#This Row],[Date of Birth]],TODAY())</f>
        <v>37.263888888888886</v>
      </c>
      <c r="Q254" s="13" t="s">
        <v>976</v>
      </c>
      <c r="R254" s="2" t="s">
        <v>1002</v>
      </c>
      <c r="S254" s="11" t="str">
        <f>IF(ISNA(VLOOKUP(A254,Tbl_Exit_Formalities[Employee ID],1,FALSE)), "No", "Yes")</f>
        <v>No</v>
      </c>
      <c r="T254" s="22">
        <f ca="1">Tbl_Employee_Details[[#This Row],[Experience in SAREGAMA]]/((SUMIFS(Tbl_Employee_Details[Experience in SAREGAMA],Tbl_Employee_Details[Department],Tbl_Employee_Details[[#This Row],[Department]])))</f>
        <v>0.12378325307401</v>
      </c>
    </row>
    <row r="255" spans="1:20" x14ac:dyDescent="0.3">
      <c r="A255" s="2">
        <v>103311</v>
      </c>
      <c r="B255" t="s">
        <v>781</v>
      </c>
      <c r="C255" t="s">
        <v>782</v>
      </c>
      <c r="D255" t="s">
        <v>950</v>
      </c>
      <c r="E255" s="3" t="s">
        <v>2225</v>
      </c>
      <c r="F255" s="4" t="s">
        <v>2226</v>
      </c>
      <c r="G255" t="s">
        <v>2486</v>
      </c>
      <c r="H255" t="s">
        <v>2227</v>
      </c>
      <c r="I255" s="12" t="s">
        <v>2228</v>
      </c>
      <c r="J255" s="12" t="s">
        <v>2229</v>
      </c>
      <c r="K255" t="s">
        <v>947</v>
      </c>
      <c r="L255" t="str">
        <f>_xlfn.CONCAT(Tbl_Employee_Details[[#This Row],[First Name]],".",Tbl_Employee_Details[[#This Row],[Last Name]],"@saregama.com")</f>
        <v>Lilias.Sturt@saregama.com</v>
      </c>
      <c r="M255" s="6">
        <f ca="1">(TODAY() - 'Employee Onboarding'!E255)/365.25</f>
        <v>24.57494866529774</v>
      </c>
      <c r="N255">
        <v>82590</v>
      </c>
      <c r="O255" s="13" t="s">
        <v>13</v>
      </c>
      <c r="P255" s="6">
        <f ca="1">YEARFRAC(Tbl_Employee_Details[[#This Row],[Date of Birth]],TODAY())</f>
        <v>42.05</v>
      </c>
      <c r="Q255" s="13" t="s">
        <v>990</v>
      </c>
      <c r="R255" s="2" t="s">
        <v>996</v>
      </c>
      <c r="S255" s="11" t="str">
        <f>IF(ISNA(VLOOKUP(A255,Tbl_Exit_Formalities[Employee ID],1,FALSE)), "No", "Yes")</f>
        <v>No</v>
      </c>
      <c r="T255" s="22">
        <f ca="1">Tbl_Employee_Details[[#This Row],[Experience in SAREGAMA]]/((SUMIFS(Tbl_Employee_Details[Experience in SAREGAMA],Tbl_Employee_Details[Department],Tbl_Employee_Details[[#This Row],[Department]])))</f>
        <v>1.8217021224778068E-2</v>
      </c>
    </row>
    <row r="256" spans="1:20" x14ac:dyDescent="0.3">
      <c r="A256" s="2">
        <v>104919</v>
      </c>
      <c r="B256" t="s">
        <v>784</v>
      </c>
      <c r="C256" t="s">
        <v>785</v>
      </c>
      <c r="D256" t="s">
        <v>933</v>
      </c>
      <c r="E256" s="3" t="s">
        <v>2230</v>
      </c>
      <c r="F256" s="4" t="s">
        <v>2231</v>
      </c>
      <c r="G256" t="s">
        <v>2486</v>
      </c>
      <c r="H256" t="s">
        <v>2232</v>
      </c>
      <c r="I256" s="12" t="s">
        <v>2233</v>
      </c>
      <c r="J256" s="12" t="s">
        <v>2234</v>
      </c>
      <c r="K256" t="s">
        <v>947</v>
      </c>
      <c r="L256" t="str">
        <f>_xlfn.CONCAT(Tbl_Employee_Details[[#This Row],[First Name]],".",Tbl_Employee_Details[[#This Row],[Last Name]],"@saregama.com")</f>
        <v>Tod.Schiementz@saregama.com</v>
      </c>
      <c r="M256" s="6">
        <f ca="1">(TODAY() - 'Employee Onboarding'!E256)/365.25</f>
        <v>3.4414784394250515</v>
      </c>
      <c r="N256">
        <v>881197</v>
      </c>
      <c r="O256" s="13" t="s">
        <v>51</v>
      </c>
      <c r="P256" s="6">
        <f ca="1">YEARFRAC(Tbl_Employee_Details[[#This Row],[Date of Birth]],TODAY())</f>
        <v>25.56111111111111</v>
      </c>
      <c r="Q256" s="13" t="s">
        <v>976</v>
      </c>
      <c r="R256" s="2" t="s">
        <v>1019</v>
      </c>
      <c r="S256" s="11" t="str">
        <f>IF(ISNA(VLOOKUP(A256,Tbl_Exit_Formalities[Employee ID],1,FALSE)), "No", "Yes")</f>
        <v>No</v>
      </c>
      <c r="T256" s="22">
        <f ca="1">Tbl_Employee_Details[[#This Row],[Experience in SAREGAMA]]/((SUMIFS(Tbl_Employee_Details[Experience in SAREGAMA],Tbl_Employee_Details[Department],Tbl_Employee_Details[[#This Row],[Department]])))</f>
        <v>1.175370517555753E-2</v>
      </c>
    </row>
    <row r="257" spans="1:20" x14ac:dyDescent="0.3">
      <c r="A257" s="2">
        <v>106199</v>
      </c>
      <c r="B257" t="s">
        <v>787</v>
      </c>
      <c r="C257" t="s">
        <v>788</v>
      </c>
      <c r="D257" t="s">
        <v>950</v>
      </c>
      <c r="E257" s="3" t="s">
        <v>2235</v>
      </c>
      <c r="F257" s="4" t="s">
        <v>2236</v>
      </c>
      <c r="G257" t="s">
        <v>2482</v>
      </c>
      <c r="H257" t="s">
        <v>2237</v>
      </c>
      <c r="I257" s="12" t="s">
        <v>2238</v>
      </c>
      <c r="J257" s="12" t="s">
        <v>2239</v>
      </c>
      <c r="K257" t="s">
        <v>947</v>
      </c>
      <c r="L257" t="str">
        <f>_xlfn.CONCAT(Tbl_Employee_Details[[#This Row],[First Name]],".",Tbl_Employee_Details[[#This Row],[Last Name]],"@saregama.com")</f>
        <v>Jenny.Pettisall@saregama.com</v>
      </c>
      <c r="M257" s="6">
        <f ca="1">(TODAY() - 'Employee Onboarding'!E257)/365.25</f>
        <v>9.2648870636550313</v>
      </c>
      <c r="N257">
        <v>633767</v>
      </c>
      <c r="O257" s="13" t="s">
        <v>63</v>
      </c>
      <c r="P257" s="6">
        <f ca="1">YEARFRAC(Tbl_Employee_Details[[#This Row],[Date of Birth]],TODAY())</f>
        <v>24.619444444444444</v>
      </c>
      <c r="Q257" s="13" t="s">
        <v>976</v>
      </c>
      <c r="R257" s="2" t="s">
        <v>1019</v>
      </c>
      <c r="S257" s="11" t="str">
        <f>IF(ISNA(VLOOKUP(A257,Tbl_Exit_Formalities[Employee ID],1,FALSE)), "No", "Yes")</f>
        <v>No</v>
      </c>
      <c r="T257" s="22">
        <f ca="1">Tbl_Employee_Details[[#This Row],[Experience in SAREGAMA]]/((SUMIFS(Tbl_Employee_Details[Experience in SAREGAMA],Tbl_Employee_Details[Department],Tbl_Employee_Details[[#This Row],[Department]])))</f>
        <v>3.1642433026321942E-2</v>
      </c>
    </row>
    <row r="258" spans="1:20" x14ac:dyDescent="0.3">
      <c r="A258" s="2">
        <v>106277</v>
      </c>
      <c r="B258" t="s">
        <v>790</v>
      </c>
      <c r="C258" t="s">
        <v>791</v>
      </c>
      <c r="D258" t="s">
        <v>933</v>
      </c>
      <c r="E258" s="3" t="s">
        <v>2240</v>
      </c>
      <c r="F258" s="4" t="s">
        <v>2241</v>
      </c>
      <c r="G258" t="s">
        <v>2486</v>
      </c>
      <c r="H258" t="s">
        <v>2242</v>
      </c>
      <c r="I258" s="12" t="s">
        <v>2243</v>
      </c>
      <c r="J258" s="12" t="s">
        <v>2244</v>
      </c>
      <c r="K258" t="s">
        <v>983</v>
      </c>
      <c r="L258" t="str">
        <f>_xlfn.CONCAT(Tbl_Employee_Details[[#This Row],[First Name]],".",Tbl_Employee_Details[[#This Row],[Last Name]],"@saregama.com")</f>
        <v>Raynor.Elverston@saregama.com</v>
      </c>
      <c r="M258" s="6">
        <f ca="1">(TODAY() - 'Employee Onboarding'!E258)/365.25</f>
        <v>28.23545516769336</v>
      </c>
      <c r="N258">
        <v>390627</v>
      </c>
      <c r="O258" s="13" t="s">
        <v>85</v>
      </c>
      <c r="P258" s="6">
        <f ca="1">YEARFRAC(Tbl_Employee_Details[[#This Row],[Date of Birth]],TODAY())</f>
        <v>31.630555555555556</v>
      </c>
      <c r="Q258" s="13" t="s">
        <v>990</v>
      </c>
      <c r="R258" s="2" t="s">
        <v>965</v>
      </c>
      <c r="S258" s="11" t="str">
        <f>IF(ISNA(VLOOKUP(A258,Tbl_Exit_Formalities[Employee ID],1,FALSE)), "No", "Yes")</f>
        <v>No</v>
      </c>
      <c r="T258" s="22">
        <f ca="1">Tbl_Employee_Details[[#This Row],[Experience in SAREGAMA]]/((SUMIFS(Tbl_Employee_Details[Experience in SAREGAMA],Tbl_Employee_Details[Department],Tbl_Employee_Details[[#This Row],[Department]])))</f>
        <v>2.0930496868442092E-2</v>
      </c>
    </row>
    <row r="259" spans="1:20" x14ac:dyDescent="0.3">
      <c r="A259" s="2">
        <v>107572</v>
      </c>
      <c r="B259" t="s">
        <v>793</v>
      </c>
      <c r="C259" t="s">
        <v>794</v>
      </c>
      <c r="D259" t="s">
        <v>950</v>
      </c>
      <c r="E259" s="3" t="s">
        <v>2245</v>
      </c>
      <c r="F259" s="4" t="s">
        <v>2246</v>
      </c>
      <c r="G259" t="s">
        <v>2549</v>
      </c>
      <c r="H259" t="s">
        <v>2247</v>
      </c>
      <c r="I259" s="12" t="s">
        <v>2248</v>
      </c>
      <c r="J259" s="12" t="s">
        <v>2249</v>
      </c>
      <c r="K259" t="s">
        <v>939</v>
      </c>
      <c r="L259" t="str">
        <f>_xlfn.CONCAT(Tbl_Employee_Details[[#This Row],[First Name]],".",Tbl_Employee_Details[[#This Row],[Last Name]],"@saregama.com")</f>
        <v>Ellette.Castangia@saregama.com</v>
      </c>
      <c r="M259" s="6">
        <f ca="1">(TODAY() - 'Employee Onboarding'!E259)/365.25</f>
        <v>16.11772758384668</v>
      </c>
      <c r="N259">
        <v>485958</v>
      </c>
      <c r="O259" s="13" t="s">
        <v>22</v>
      </c>
      <c r="P259" s="6">
        <f ca="1">YEARFRAC(Tbl_Employee_Details[[#This Row],[Date of Birth]],TODAY())</f>
        <v>36.616666666666667</v>
      </c>
      <c r="Q259" s="13" t="s">
        <v>990</v>
      </c>
      <c r="R259" s="2" t="s">
        <v>965</v>
      </c>
      <c r="S259" s="11" t="str">
        <f>IF(ISNA(VLOOKUP(A259,Tbl_Exit_Formalities[Employee ID],1,FALSE)), "No", "Yes")</f>
        <v>No</v>
      </c>
      <c r="T259" s="22">
        <f ca="1">Tbl_Employee_Details[[#This Row],[Experience in SAREGAMA]]/((SUMIFS(Tbl_Employee_Details[Experience in SAREGAMA],Tbl_Employee_Details[Department],Tbl_Employee_Details[[#This Row],[Department]])))</f>
        <v>1.1947816839379288E-2</v>
      </c>
    </row>
    <row r="260" spans="1:20" x14ac:dyDescent="0.3">
      <c r="A260" s="2">
        <v>107403</v>
      </c>
      <c r="B260" t="s">
        <v>796</v>
      </c>
      <c r="C260" t="s">
        <v>797</v>
      </c>
      <c r="D260" t="s">
        <v>950</v>
      </c>
      <c r="E260" s="3" t="s">
        <v>2250</v>
      </c>
      <c r="F260" s="4" t="s">
        <v>2251</v>
      </c>
      <c r="G260" t="s">
        <v>2486</v>
      </c>
      <c r="H260" t="s">
        <v>2252</v>
      </c>
      <c r="I260" s="12" t="s">
        <v>2253</v>
      </c>
      <c r="J260" s="12" t="s">
        <v>2254</v>
      </c>
      <c r="K260" t="s">
        <v>1013</v>
      </c>
      <c r="L260" t="str">
        <f>_xlfn.CONCAT(Tbl_Employee_Details[[#This Row],[First Name]],".",Tbl_Employee_Details[[#This Row],[Last Name]],"@saregama.com")</f>
        <v>Corina.Blythin@saregama.com</v>
      </c>
      <c r="M260" s="6">
        <f ca="1">(TODAY() - 'Employee Onboarding'!E260)/365.25</f>
        <v>26.631074606433948</v>
      </c>
      <c r="N260">
        <v>468811</v>
      </c>
      <c r="O260" s="13" t="s">
        <v>22</v>
      </c>
      <c r="P260" s="6">
        <f ca="1">YEARFRAC(Tbl_Employee_Details[[#This Row],[Date of Birth]],TODAY())</f>
        <v>42.12777777777778</v>
      </c>
      <c r="Q260" s="13" t="s">
        <v>990</v>
      </c>
      <c r="R260" s="2" t="s">
        <v>941</v>
      </c>
      <c r="S260" s="11" t="str">
        <f>IF(ISNA(VLOOKUP(A260,Tbl_Exit_Formalities[Employee ID],1,FALSE)), "No", "Yes")</f>
        <v>No</v>
      </c>
      <c r="T260" s="22">
        <f ca="1">Tbl_Employee_Details[[#This Row],[Experience in SAREGAMA]]/((SUMIFS(Tbl_Employee_Details[Experience in SAREGAMA],Tbl_Employee_Details[Department],Tbl_Employee_Details[[#This Row],[Department]])))</f>
        <v>1.9741194903455467E-2</v>
      </c>
    </row>
    <row r="261" spans="1:20" x14ac:dyDescent="0.3">
      <c r="A261" s="2">
        <v>107748</v>
      </c>
      <c r="B261" t="s">
        <v>730</v>
      </c>
      <c r="C261" t="s">
        <v>799</v>
      </c>
      <c r="D261" t="s">
        <v>950</v>
      </c>
      <c r="E261" s="3" t="s">
        <v>2255</v>
      </c>
      <c r="F261" s="4" t="s">
        <v>2256</v>
      </c>
      <c r="G261" t="s">
        <v>2508</v>
      </c>
      <c r="H261" t="s">
        <v>2257</v>
      </c>
      <c r="I261" s="12" t="s">
        <v>2258</v>
      </c>
      <c r="J261" s="12" t="s">
        <v>2259</v>
      </c>
      <c r="K261" t="s">
        <v>989</v>
      </c>
      <c r="L261" t="str">
        <f>_xlfn.CONCAT(Tbl_Employee_Details[[#This Row],[First Name]],".",Tbl_Employee_Details[[#This Row],[Last Name]],"@saregama.com")</f>
        <v>Colline.Hurlston@saregama.com</v>
      </c>
      <c r="M261" s="6">
        <f ca="1">(TODAY() - 'Employee Onboarding'!E261)/365.25</f>
        <v>10.945927446954141</v>
      </c>
      <c r="N261">
        <v>119515</v>
      </c>
      <c r="O261" s="13" t="s">
        <v>46</v>
      </c>
      <c r="P261" s="6">
        <f ca="1">YEARFRAC(Tbl_Employee_Details[[#This Row],[Date of Birth]],TODAY())</f>
        <v>22.572222222222223</v>
      </c>
      <c r="Q261" s="13" t="s">
        <v>990</v>
      </c>
      <c r="R261" s="2" t="s">
        <v>958</v>
      </c>
      <c r="S261" s="11" t="str">
        <f>IF(ISNA(VLOOKUP(A261,Tbl_Exit_Formalities[Employee ID],1,FALSE)), "No", "Yes")</f>
        <v>No</v>
      </c>
      <c r="T261" s="22">
        <f ca="1">Tbl_Employee_Details[[#This Row],[Experience in SAREGAMA]]/((SUMIFS(Tbl_Employee_Details[Experience in SAREGAMA],Tbl_Employee_Details[Department],Tbl_Employee_Details[[#This Row],[Department]])))</f>
        <v>8.114043099004313E-3</v>
      </c>
    </row>
    <row r="262" spans="1:20" x14ac:dyDescent="0.3">
      <c r="A262" s="2">
        <v>106325</v>
      </c>
      <c r="B262" t="s">
        <v>801</v>
      </c>
      <c r="C262" t="s">
        <v>802</v>
      </c>
      <c r="D262" t="s">
        <v>950</v>
      </c>
      <c r="E262" s="3" t="s">
        <v>2260</v>
      </c>
      <c r="F262" s="4" t="s">
        <v>2261</v>
      </c>
      <c r="G262" t="s">
        <v>2555</v>
      </c>
      <c r="H262" t="s">
        <v>2262</v>
      </c>
      <c r="I262" s="12" t="s">
        <v>2263</v>
      </c>
      <c r="J262" s="12" t="s">
        <v>2264</v>
      </c>
      <c r="K262" t="s">
        <v>939</v>
      </c>
      <c r="L262" t="str">
        <f>_xlfn.CONCAT(Tbl_Employee_Details[[#This Row],[First Name]],".",Tbl_Employee_Details[[#This Row],[Last Name]],"@saregama.com")</f>
        <v>Antonella.Rodinger@saregama.com</v>
      </c>
      <c r="M262" s="6">
        <f ca="1">(TODAY() - 'Employee Onboarding'!E262)/365.25</f>
        <v>30.67214236824093</v>
      </c>
      <c r="N262">
        <v>142566</v>
      </c>
      <c r="O262" s="13" t="s">
        <v>113</v>
      </c>
      <c r="P262" s="6">
        <f ca="1">YEARFRAC(Tbl_Employee_Details[[#This Row],[Date of Birth]],TODAY())</f>
        <v>31.227777777777778</v>
      </c>
      <c r="Q262" s="13" t="s">
        <v>990</v>
      </c>
      <c r="R262" s="2" t="s">
        <v>996</v>
      </c>
      <c r="S262" s="11" t="str">
        <f>IF(ISNA(VLOOKUP(A262,Tbl_Exit_Formalities[Employee ID],1,FALSE)), "No", "Yes")</f>
        <v>No</v>
      </c>
      <c r="T262" s="22">
        <f ca="1">Tbl_Employee_Details[[#This Row],[Experience in SAREGAMA]]/((SUMIFS(Tbl_Employee_Details[Experience in SAREGAMA],Tbl_Employee_Details[Department],Tbl_Employee_Details[[#This Row],[Department]])))</f>
        <v>2.273677459683475E-2</v>
      </c>
    </row>
    <row r="263" spans="1:20" x14ac:dyDescent="0.3">
      <c r="A263" s="2">
        <v>104817</v>
      </c>
      <c r="B263" t="s">
        <v>804</v>
      </c>
      <c r="C263" t="s">
        <v>805</v>
      </c>
      <c r="D263" t="s">
        <v>933</v>
      </c>
      <c r="E263" s="3" t="s">
        <v>2265</v>
      </c>
      <c r="F263" s="4" t="s">
        <v>2266</v>
      </c>
      <c r="G263" t="s">
        <v>2499</v>
      </c>
      <c r="H263" t="s">
        <v>2267</v>
      </c>
      <c r="I263" s="12" t="s">
        <v>2268</v>
      </c>
      <c r="J263" s="12" t="s">
        <v>2269</v>
      </c>
      <c r="K263" t="s">
        <v>1013</v>
      </c>
      <c r="L263" t="str">
        <f>_xlfn.CONCAT(Tbl_Employee_Details[[#This Row],[First Name]],".",Tbl_Employee_Details[[#This Row],[Last Name]],"@saregama.com")</f>
        <v>Forbes.Sketh@saregama.com</v>
      </c>
      <c r="M263" s="6">
        <f ca="1">(TODAY() - 'Employee Onboarding'!E263)/365.25</f>
        <v>16.495550992470911</v>
      </c>
      <c r="N263">
        <v>354302</v>
      </c>
      <c r="O263" s="13" t="s">
        <v>85</v>
      </c>
      <c r="P263" s="6">
        <f ca="1">YEARFRAC(Tbl_Employee_Details[[#This Row],[Date of Birth]],TODAY())</f>
        <v>19.819444444444443</v>
      </c>
      <c r="Q263" s="13" t="s">
        <v>990</v>
      </c>
      <c r="R263" s="2" t="s">
        <v>977</v>
      </c>
      <c r="S263" s="11" t="str">
        <f>IF(ISNA(VLOOKUP(A263,Tbl_Exit_Formalities[Employee ID],1,FALSE)), "No", "Yes")</f>
        <v>No</v>
      </c>
      <c r="T263" s="22">
        <f ca="1">Tbl_Employee_Details[[#This Row],[Experience in SAREGAMA]]/((SUMIFS(Tbl_Employee_Details[Experience in SAREGAMA],Tbl_Employee_Details[Department],Tbl_Employee_Details[[#This Row],[Department]])))</f>
        <v>1.2227891363557026E-2</v>
      </c>
    </row>
    <row r="264" spans="1:20" x14ac:dyDescent="0.3">
      <c r="A264" s="2">
        <v>104804</v>
      </c>
      <c r="B264" t="s">
        <v>807</v>
      </c>
      <c r="C264" t="s">
        <v>808</v>
      </c>
      <c r="D264" t="s">
        <v>933</v>
      </c>
      <c r="E264" s="3" t="s">
        <v>2270</v>
      </c>
      <c r="F264" s="4" t="s">
        <v>2271</v>
      </c>
      <c r="G264" t="s">
        <v>2491</v>
      </c>
      <c r="H264" t="s">
        <v>2272</v>
      </c>
      <c r="I264" s="12" t="s">
        <v>2273</v>
      </c>
      <c r="J264" s="12" t="s">
        <v>2274</v>
      </c>
      <c r="K264" t="s">
        <v>983</v>
      </c>
      <c r="L264" t="str">
        <f>_xlfn.CONCAT(Tbl_Employee_Details[[#This Row],[First Name]],".",Tbl_Employee_Details[[#This Row],[Last Name]],"@saregama.com")</f>
        <v>Maxwell.Cottis@saregama.com</v>
      </c>
      <c r="M264" s="6">
        <f ca="1">(TODAY() - 'Employee Onboarding'!E264)/365.25</f>
        <v>10.609171800136892</v>
      </c>
      <c r="N264">
        <v>417900</v>
      </c>
      <c r="O264" s="13" t="s">
        <v>85</v>
      </c>
      <c r="P264" s="6">
        <f ca="1">YEARFRAC(Tbl_Employee_Details[[#This Row],[Date of Birth]],TODAY())</f>
        <v>20.258333333333333</v>
      </c>
      <c r="Q264" s="13" t="s">
        <v>990</v>
      </c>
      <c r="R264" s="2" t="s">
        <v>965</v>
      </c>
      <c r="S264" s="11" t="str">
        <f>IF(ISNA(VLOOKUP(A264,Tbl_Exit_Formalities[Employee ID],1,FALSE)), "No", "Yes")</f>
        <v>No</v>
      </c>
      <c r="T264" s="22">
        <f ca="1">Tbl_Employee_Details[[#This Row],[Experience in SAREGAMA]]/((SUMIFS(Tbl_Employee_Details[Experience in SAREGAMA],Tbl_Employee_Details[Department],Tbl_Employee_Details[[#This Row],[Department]])))</f>
        <v>7.864411457889374E-3</v>
      </c>
    </row>
    <row r="265" spans="1:20" x14ac:dyDescent="0.3">
      <c r="A265" s="2">
        <v>105796</v>
      </c>
      <c r="B265" t="s">
        <v>810</v>
      </c>
      <c r="C265" t="s">
        <v>811</v>
      </c>
      <c r="D265" t="s">
        <v>933</v>
      </c>
      <c r="E265" s="3" t="s">
        <v>2275</v>
      </c>
      <c r="F265" s="4" t="s">
        <v>2276</v>
      </c>
      <c r="G265" t="s">
        <v>2556</v>
      </c>
      <c r="H265" t="s">
        <v>2277</v>
      </c>
      <c r="I265" s="12" t="s">
        <v>2278</v>
      </c>
      <c r="J265" s="12" t="s">
        <v>2279</v>
      </c>
      <c r="K265" t="s">
        <v>939</v>
      </c>
      <c r="L265" t="str">
        <f>_xlfn.CONCAT(Tbl_Employee_Details[[#This Row],[First Name]],".",Tbl_Employee_Details[[#This Row],[Last Name]],"@saregama.com")</f>
        <v>Michel.Callaghan@saregama.com</v>
      </c>
      <c r="M265" s="6">
        <f ca="1">(TODAY() - 'Employee Onboarding'!E265)/365.25</f>
        <v>19.022587268993838</v>
      </c>
      <c r="N265">
        <v>772820</v>
      </c>
      <c r="O265" s="13" t="s">
        <v>129</v>
      </c>
      <c r="P265" s="6">
        <f ca="1">YEARFRAC(Tbl_Employee_Details[[#This Row],[Date of Birth]],TODAY())</f>
        <v>19.952777777777779</v>
      </c>
      <c r="Q265" s="13" t="s">
        <v>948</v>
      </c>
      <c r="R265" s="2" t="s">
        <v>1019</v>
      </c>
      <c r="S265" s="11" t="str">
        <f>IF(ISNA(VLOOKUP(A265,Tbl_Exit_Formalities[Employee ID],1,FALSE)), "No", "Yes")</f>
        <v>No</v>
      </c>
      <c r="T265" s="22">
        <f ca="1">Tbl_Employee_Details[[#This Row],[Experience in SAREGAMA]]/((SUMIFS(Tbl_Employee_Details[Experience in SAREGAMA],Tbl_Employee_Details[Department],Tbl_Employee_Details[[#This Row],[Department]])))</f>
        <v>4.8905469134933488E-2</v>
      </c>
    </row>
    <row r="266" spans="1:20" x14ac:dyDescent="0.3">
      <c r="A266" s="2">
        <v>106319</v>
      </c>
      <c r="B266" t="s">
        <v>813</v>
      </c>
      <c r="C266" t="s">
        <v>814</v>
      </c>
      <c r="D266" t="s">
        <v>950</v>
      </c>
      <c r="E266" s="3" t="s">
        <v>2280</v>
      </c>
      <c r="F266" s="4" t="s">
        <v>2281</v>
      </c>
      <c r="G266" t="s">
        <v>2563</v>
      </c>
      <c r="H266" t="s">
        <v>2282</v>
      </c>
      <c r="I266" s="12" t="s">
        <v>2283</v>
      </c>
      <c r="J266" s="12" t="s">
        <v>2284</v>
      </c>
      <c r="K266" t="s">
        <v>956</v>
      </c>
      <c r="L266" t="str">
        <f>_xlfn.CONCAT(Tbl_Employee_Details[[#This Row],[First Name]],".",Tbl_Employee_Details[[#This Row],[Last Name]],"@saregama.com")</f>
        <v>Ursala.Broader@saregama.com</v>
      </c>
      <c r="M266" s="6">
        <f ca="1">(TODAY() - 'Employee Onboarding'!E266)/365.25</f>
        <v>3.5592060232717319E-2</v>
      </c>
      <c r="N266">
        <v>474334</v>
      </c>
      <c r="O266" s="13" t="s">
        <v>22</v>
      </c>
      <c r="P266" s="6">
        <f ca="1">YEARFRAC(Tbl_Employee_Details[[#This Row],[Date of Birth]],TODAY())</f>
        <v>21.380555555555556</v>
      </c>
      <c r="Q266" s="13" t="s">
        <v>990</v>
      </c>
      <c r="R266" s="2" t="s">
        <v>949</v>
      </c>
      <c r="S266" s="11" t="str">
        <f>IF(ISNA(VLOOKUP(A266,Tbl_Exit_Formalities[Employee ID],1,FALSE)), "No", "Yes")</f>
        <v>No</v>
      </c>
      <c r="T266" s="22">
        <f ca="1">Tbl_Employee_Details[[#This Row],[Experience in SAREGAMA]]/((SUMIFS(Tbl_Employee_Details[Experience in SAREGAMA],Tbl_Employee_Details[Department],Tbl_Employee_Details[[#This Row],[Department]])))</f>
        <v>2.6383831987757901E-5</v>
      </c>
    </row>
    <row r="267" spans="1:20" x14ac:dyDescent="0.3">
      <c r="A267" s="2">
        <v>107125</v>
      </c>
      <c r="B267" t="s">
        <v>816</v>
      </c>
      <c r="C267" t="s">
        <v>817</v>
      </c>
      <c r="D267" t="s">
        <v>933</v>
      </c>
      <c r="E267" s="3" t="s">
        <v>2285</v>
      </c>
      <c r="F267" s="4" t="s">
        <v>2286</v>
      </c>
      <c r="G267" t="s">
        <v>2505</v>
      </c>
      <c r="H267" t="s">
        <v>2287</v>
      </c>
      <c r="I267" s="12" t="s">
        <v>2288</v>
      </c>
      <c r="J267" s="12" t="s">
        <v>2289</v>
      </c>
      <c r="K267" t="s">
        <v>939</v>
      </c>
      <c r="L267" t="str">
        <f>_xlfn.CONCAT(Tbl_Employee_Details[[#This Row],[First Name]],".",Tbl_Employee_Details[[#This Row],[Last Name]],"@saregama.com")</f>
        <v>Donaugh.Arend@saregama.com</v>
      </c>
      <c r="M267" s="6">
        <f ca="1">(TODAY() - 'Employee Onboarding'!E267)/365.25</f>
        <v>13.995893223819301</v>
      </c>
      <c r="N267">
        <v>863075</v>
      </c>
      <c r="O267" s="13" t="s">
        <v>51</v>
      </c>
      <c r="P267" s="6">
        <f ca="1">YEARFRAC(Tbl_Employee_Details[[#This Row],[Date of Birth]],TODAY())</f>
        <v>44.758333333333333</v>
      </c>
      <c r="Q267" s="13" t="s">
        <v>976</v>
      </c>
      <c r="R267" s="2" t="s">
        <v>977</v>
      </c>
      <c r="S267" s="11" t="str">
        <f>IF(ISNA(VLOOKUP(A267,Tbl_Exit_Formalities[Employee ID],1,FALSE)), "No", "Yes")</f>
        <v>No</v>
      </c>
      <c r="T267" s="22">
        <f ca="1">Tbl_Employee_Details[[#This Row],[Experience in SAREGAMA]]/((SUMIFS(Tbl_Employee_Details[Experience in SAREGAMA],Tbl_Employee_Details[Department],Tbl_Employee_Details[[#This Row],[Department]])))</f>
        <v>4.7800271167422505E-2</v>
      </c>
    </row>
    <row r="268" spans="1:20" x14ac:dyDescent="0.3">
      <c r="A268" s="2">
        <v>105444</v>
      </c>
      <c r="B268" t="s">
        <v>819</v>
      </c>
      <c r="C268" t="s">
        <v>820</v>
      </c>
      <c r="D268" t="s">
        <v>933</v>
      </c>
      <c r="E268" s="3" t="s">
        <v>2290</v>
      </c>
      <c r="F268" s="4" t="s">
        <v>2291</v>
      </c>
      <c r="G268" t="s">
        <v>2557</v>
      </c>
      <c r="H268" t="s">
        <v>2292</v>
      </c>
      <c r="I268" s="12" t="s">
        <v>2293</v>
      </c>
      <c r="J268" s="12" t="s">
        <v>2294</v>
      </c>
      <c r="K268" t="s">
        <v>989</v>
      </c>
      <c r="L268" t="str">
        <f>_xlfn.CONCAT(Tbl_Employee_Details[[#This Row],[First Name]],".",Tbl_Employee_Details[[#This Row],[Last Name]],"@saregama.com")</f>
        <v>Rudolf.Curcher@saregama.com</v>
      </c>
      <c r="M268" s="6">
        <f ca="1">(TODAY() - 'Employee Onboarding'!E268)/365.25</f>
        <v>19.849418206707735</v>
      </c>
      <c r="N268">
        <v>613621</v>
      </c>
      <c r="O268" s="13" t="s">
        <v>129</v>
      </c>
      <c r="P268" s="6">
        <f ca="1">YEARFRAC(Tbl_Employee_Details[[#This Row],[Date of Birth]],TODAY())</f>
        <v>21.705555555555556</v>
      </c>
      <c r="Q268" s="13" t="s">
        <v>976</v>
      </c>
      <c r="R268" s="2" t="s">
        <v>965</v>
      </c>
      <c r="S268" s="11" t="str">
        <f>IF(ISNA(VLOOKUP(A268,Tbl_Exit_Formalities[Employee ID],1,FALSE)), "No", "Yes")</f>
        <v>No</v>
      </c>
      <c r="T268" s="22">
        <f ca="1">Tbl_Employee_Details[[#This Row],[Experience in SAREGAMA]]/((SUMIFS(Tbl_Employee_Details[Experience in SAREGAMA],Tbl_Employee_Details[Department],Tbl_Employee_Details[[#This Row],[Department]])))</f>
        <v>6.7791855626724018E-2</v>
      </c>
    </row>
    <row r="269" spans="1:20" x14ac:dyDescent="0.3">
      <c r="A269" s="2">
        <v>104656</v>
      </c>
      <c r="B269" t="s">
        <v>822</v>
      </c>
      <c r="C269" t="s">
        <v>823</v>
      </c>
      <c r="D269" t="s">
        <v>950</v>
      </c>
      <c r="E269" s="3" t="s">
        <v>2295</v>
      </c>
      <c r="F269" s="4" t="s">
        <v>2296</v>
      </c>
      <c r="G269" t="s">
        <v>2544</v>
      </c>
      <c r="H269" t="s">
        <v>2297</v>
      </c>
      <c r="I269" s="12" t="s">
        <v>2298</v>
      </c>
      <c r="J269" s="12" t="s">
        <v>2299</v>
      </c>
      <c r="K269" t="s">
        <v>983</v>
      </c>
      <c r="L269" t="str">
        <f>_xlfn.CONCAT(Tbl_Employee_Details[[#This Row],[First Name]],".",Tbl_Employee_Details[[#This Row],[Last Name]],"@saregama.com")</f>
        <v>Janina.Odby@saregama.com</v>
      </c>
      <c r="M269" s="6">
        <f ca="1">(TODAY() - 'Employee Onboarding'!E269)/365.25</f>
        <v>15.455167693360712</v>
      </c>
      <c r="N269">
        <v>191888</v>
      </c>
      <c r="O269" s="13" t="s">
        <v>13</v>
      </c>
      <c r="P269" s="6">
        <f ca="1">YEARFRAC(Tbl_Employee_Details[[#This Row],[Date of Birth]],TODAY())</f>
        <v>29.941666666666666</v>
      </c>
      <c r="Q269" s="13" t="s">
        <v>990</v>
      </c>
      <c r="R269" s="2" t="s">
        <v>949</v>
      </c>
      <c r="S269" s="11" t="str">
        <f>IF(ISNA(VLOOKUP(A269,Tbl_Exit_Formalities[Employee ID],1,FALSE)), "No", "Yes")</f>
        <v>No</v>
      </c>
      <c r="T269" s="22">
        <f ca="1">Tbl_Employee_Details[[#This Row],[Experience in SAREGAMA]]/((SUMIFS(Tbl_Employee_Details[Experience in SAREGAMA],Tbl_Employee_Details[Department],Tbl_Employee_Details[[#This Row],[Department]])))</f>
        <v>1.1456671659299488E-2</v>
      </c>
    </row>
    <row r="270" spans="1:20" x14ac:dyDescent="0.3">
      <c r="A270" s="2">
        <v>102762</v>
      </c>
      <c r="B270" t="s">
        <v>825</v>
      </c>
      <c r="C270" t="s">
        <v>826</v>
      </c>
      <c r="D270" t="s">
        <v>950</v>
      </c>
      <c r="E270" s="3" t="s">
        <v>2300</v>
      </c>
      <c r="F270" s="4" t="s">
        <v>2301</v>
      </c>
      <c r="G270" t="s">
        <v>2486</v>
      </c>
      <c r="H270" t="s">
        <v>2302</v>
      </c>
      <c r="I270" s="12" t="s">
        <v>2303</v>
      </c>
      <c r="J270" s="12" t="s">
        <v>2304</v>
      </c>
      <c r="K270" t="s">
        <v>939</v>
      </c>
      <c r="L270" t="str">
        <f>_xlfn.CONCAT(Tbl_Employee_Details[[#This Row],[First Name]],".",Tbl_Employee_Details[[#This Row],[Last Name]],"@saregama.com")</f>
        <v>Deerdre.Carratt@saregama.com</v>
      </c>
      <c r="M270" s="6">
        <f ca="1">(TODAY() - 'Employee Onboarding'!E270)/365.25</f>
        <v>18.039698836413415</v>
      </c>
      <c r="N270">
        <v>87162</v>
      </c>
      <c r="O270" s="13" t="s">
        <v>113</v>
      </c>
      <c r="P270" s="6">
        <f ca="1">YEARFRAC(Tbl_Employee_Details[[#This Row],[Date of Birth]],TODAY())</f>
        <v>20.733333333333334</v>
      </c>
      <c r="Q270" s="13" t="s">
        <v>990</v>
      </c>
      <c r="R270" s="2" t="s">
        <v>1002</v>
      </c>
      <c r="S270" s="11" t="str">
        <f>IF(ISNA(VLOOKUP(A270,Tbl_Exit_Formalities[Employee ID],1,FALSE)), "No", "Yes")</f>
        <v>No</v>
      </c>
      <c r="T270" s="22">
        <f ca="1">Tbl_Employee_Details[[#This Row],[Experience in SAREGAMA]]/((SUMIFS(Tbl_Employee_Details[Experience in SAREGAMA],Tbl_Employee_Details[Department],Tbl_Employee_Details[[#This Row],[Department]])))</f>
        <v>1.3372543766718216E-2</v>
      </c>
    </row>
    <row r="271" spans="1:20" x14ac:dyDescent="0.3">
      <c r="A271" s="2">
        <v>104646</v>
      </c>
      <c r="B271" t="s">
        <v>828</v>
      </c>
      <c r="C271" t="s">
        <v>829</v>
      </c>
      <c r="D271" t="s">
        <v>933</v>
      </c>
      <c r="E271" s="3" t="s">
        <v>2305</v>
      </c>
      <c r="F271" s="4" t="s">
        <v>2306</v>
      </c>
      <c r="G271" t="s">
        <v>2482</v>
      </c>
      <c r="H271" t="s">
        <v>2307</v>
      </c>
      <c r="I271" s="12" t="s">
        <v>2308</v>
      </c>
      <c r="J271" s="12" t="s">
        <v>2309</v>
      </c>
      <c r="K271" t="s">
        <v>989</v>
      </c>
      <c r="L271" t="str">
        <f>_xlfn.CONCAT(Tbl_Employee_Details[[#This Row],[First Name]],".",Tbl_Employee_Details[[#This Row],[Last Name]],"@saregama.com")</f>
        <v>Stafford.Gaye@saregama.com</v>
      </c>
      <c r="M271" s="6">
        <f ca="1">(TODAY() - 'Employee Onboarding'!E271)/365.25</f>
        <v>19.597535934291582</v>
      </c>
      <c r="N271">
        <v>437763</v>
      </c>
      <c r="O271" s="13" t="s">
        <v>22</v>
      </c>
      <c r="P271" s="6">
        <f ca="1">YEARFRAC(Tbl_Employee_Details[[#This Row],[Date of Birth]],TODAY())</f>
        <v>32.613888888888887</v>
      </c>
      <c r="Q271" s="13" t="s">
        <v>990</v>
      </c>
      <c r="R271" s="2" t="s">
        <v>1002</v>
      </c>
      <c r="S271" s="11" t="str">
        <f>IF(ISNA(VLOOKUP(A271,Tbl_Exit_Formalities[Employee ID],1,FALSE)), "No", "Yes")</f>
        <v>No</v>
      </c>
      <c r="T271" s="22">
        <f ca="1">Tbl_Employee_Details[[#This Row],[Experience in SAREGAMA]]/((SUMIFS(Tbl_Employee_Details[Experience in SAREGAMA],Tbl_Employee_Details[Department],Tbl_Employee_Details[[#This Row],[Department]])))</f>
        <v>1.4527343797567004E-2</v>
      </c>
    </row>
    <row r="272" spans="1:20" x14ac:dyDescent="0.3">
      <c r="A272" s="2">
        <v>106075</v>
      </c>
      <c r="B272" t="s">
        <v>831</v>
      </c>
      <c r="C272" t="s">
        <v>832</v>
      </c>
      <c r="D272" t="s">
        <v>950</v>
      </c>
      <c r="E272" s="3" t="s">
        <v>2310</v>
      </c>
      <c r="F272" s="4" t="s">
        <v>2311</v>
      </c>
      <c r="G272" t="s">
        <v>2525</v>
      </c>
      <c r="H272" t="s">
        <v>2312</v>
      </c>
      <c r="I272" s="12" t="s">
        <v>2313</v>
      </c>
      <c r="J272" s="12" t="s">
        <v>2314</v>
      </c>
      <c r="K272" t="s">
        <v>956</v>
      </c>
      <c r="L272" t="str">
        <f>_xlfn.CONCAT(Tbl_Employee_Details[[#This Row],[First Name]],".",Tbl_Employee_Details[[#This Row],[Last Name]],"@saregama.com")</f>
        <v>Hilda.Paice@saregama.com</v>
      </c>
      <c r="M272" s="6">
        <f ca="1">(TODAY() - 'Employee Onboarding'!E272)/365.25</f>
        <v>4.6078028747433262</v>
      </c>
      <c r="N272">
        <v>1160123</v>
      </c>
      <c r="O272" s="13" t="s">
        <v>51</v>
      </c>
      <c r="P272" s="6">
        <f ca="1">YEARFRAC(Tbl_Employee_Details[[#This Row],[Date of Birth]],TODAY())</f>
        <v>32.841666666666669</v>
      </c>
      <c r="Q272" s="13" t="s">
        <v>1413</v>
      </c>
      <c r="R272" s="2" t="s">
        <v>941</v>
      </c>
      <c r="S272" s="11" t="str">
        <f>IF(ISNA(VLOOKUP(A272,Tbl_Exit_Formalities[Employee ID],1,FALSE)), "No", "Yes")</f>
        <v>No</v>
      </c>
      <c r="T272" s="22">
        <f ca="1">Tbl_Employee_Details[[#This Row],[Experience in SAREGAMA]]/((SUMIFS(Tbl_Employee_Details[Experience in SAREGAMA],Tbl_Employee_Details[Department],Tbl_Employee_Details[[#This Row],[Department]])))</f>
        <v>1.6731618085656343E-2</v>
      </c>
    </row>
    <row r="273" spans="1:20" x14ac:dyDescent="0.3">
      <c r="A273" s="2">
        <v>102060</v>
      </c>
      <c r="B273" t="s">
        <v>834</v>
      </c>
      <c r="C273" t="s">
        <v>835</v>
      </c>
      <c r="D273" t="s">
        <v>933</v>
      </c>
      <c r="E273" s="3" t="s">
        <v>2315</v>
      </c>
      <c r="F273" s="4" t="s">
        <v>2316</v>
      </c>
      <c r="G273" t="s">
        <v>2512</v>
      </c>
      <c r="H273" t="s">
        <v>2317</v>
      </c>
      <c r="I273" s="12" t="s">
        <v>2318</v>
      </c>
      <c r="J273" s="12" t="s">
        <v>2319</v>
      </c>
      <c r="K273" t="s">
        <v>989</v>
      </c>
      <c r="L273" t="str">
        <f>_xlfn.CONCAT(Tbl_Employee_Details[[#This Row],[First Name]],".",Tbl_Employee_Details[[#This Row],[Last Name]],"@saregama.com")</f>
        <v>Virgie.Antonucci@saregama.com</v>
      </c>
      <c r="M273" s="6">
        <f ca="1">(TODAY() - 'Employee Onboarding'!E273)/365.25</f>
        <v>0.76933607118412051</v>
      </c>
      <c r="N273">
        <v>93978</v>
      </c>
      <c r="O273" s="13" t="s">
        <v>13</v>
      </c>
      <c r="P273" s="6">
        <f ca="1">YEARFRAC(Tbl_Employee_Details[[#This Row],[Date of Birth]],TODAY())</f>
        <v>21.222222222222221</v>
      </c>
      <c r="Q273" s="13" t="s">
        <v>990</v>
      </c>
      <c r="R273" s="2" t="s">
        <v>1019</v>
      </c>
      <c r="S273" s="11" t="str">
        <f>IF(ISNA(VLOOKUP(A273,Tbl_Exit_Formalities[Employee ID],1,FALSE)), "No", "Yes")</f>
        <v>No</v>
      </c>
      <c r="T273" s="22">
        <f ca="1">Tbl_Employee_Details[[#This Row],[Experience in SAREGAMA]]/((SUMIFS(Tbl_Employee_Details[Experience in SAREGAMA],Tbl_Employee_Details[Department],Tbl_Employee_Details[[#This Row],[Department]])))</f>
        <v>5.7029667604307469E-4</v>
      </c>
    </row>
    <row r="274" spans="1:20" x14ac:dyDescent="0.3">
      <c r="A274" s="2">
        <v>105819</v>
      </c>
      <c r="B274" t="s">
        <v>837</v>
      </c>
      <c r="C274" t="s">
        <v>838</v>
      </c>
      <c r="D274" t="s">
        <v>933</v>
      </c>
      <c r="E274" s="3" t="s">
        <v>2320</v>
      </c>
      <c r="F274" s="4" t="s">
        <v>2321</v>
      </c>
      <c r="G274" t="s">
        <v>2524</v>
      </c>
      <c r="H274" t="s">
        <v>2322</v>
      </c>
      <c r="I274" s="12" t="s">
        <v>2323</v>
      </c>
      <c r="J274" s="12" t="s">
        <v>2324</v>
      </c>
      <c r="K274" t="s">
        <v>989</v>
      </c>
      <c r="L274" t="str">
        <f>_xlfn.CONCAT(Tbl_Employee_Details[[#This Row],[First Name]],".",Tbl_Employee_Details[[#This Row],[Last Name]],"@saregama.com")</f>
        <v>Syd.Circuit@saregama.com</v>
      </c>
      <c r="M274" s="6">
        <f ca="1">(TODAY() - 'Employee Onboarding'!E274)/365.25</f>
        <v>26.891170431211499</v>
      </c>
      <c r="N274">
        <v>669770</v>
      </c>
      <c r="O274" s="13" t="s">
        <v>63</v>
      </c>
      <c r="P274" s="6">
        <f ca="1">YEARFRAC(Tbl_Employee_Details[[#This Row],[Date of Birth]],TODAY())</f>
        <v>41.3</v>
      </c>
      <c r="Q274" s="13" t="s">
        <v>976</v>
      </c>
      <c r="R274" s="2" t="s">
        <v>977</v>
      </c>
      <c r="S274" s="11" t="str">
        <f>IF(ISNA(VLOOKUP(A274,Tbl_Exit_Formalities[Employee ID],1,FALSE)), "No", "Yes")</f>
        <v>No</v>
      </c>
      <c r="T274" s="22">
        <f ca="1">Tbl_Employee_Details[[#This Row],[Experience in SAREGAMA]]/((SUMIFS(Tbl_Employee_Details[Experience in SAREGAMA],Tbl_Employee_Details[Department],Tbl_Employee_Details[[#This Row],[Department]])))</f>
        <v>9.1841600822852865E-2</v>
      </c>
    </row>
    <row r="275" spans="1:20" x14ac:dyDescent="0.3">
      <c r="A275" s="2">
        <v>105192</v>
      </c>
      <c r="B275" t="s">
        <v>840</v>
      </c>
      <c r="C275" t="s">
        <v>841</v>
      </c>
      <c r="D275" t="s">
        <v>933</v>
      </c>
      <c r="E275" s="3" t="s">
        <v>2325</v>
      </c>
      <c r="F275" s="4" t="s">
        <v>2326</v>
      </c>
      <c r="G275" t="s">
        <v>2516</v>
      </c>
      <c r="H275" t="s">
        <v>2327</v>
      </c>
      <c r="I275" s="12" t="s">
        <v>2328</v>
      </c>
      <c r="J275" s="12" t="s">
        <v>2329</v>
      </c>
      <c r="K275" t="s">
        <v>1066</v>
      </c>
      <c r="L275" t="str">
        <f>_xlfn.CONCAT(Tbl_Employee_Details[[#This Row],[First Name]],".",Tbl_Employee_Details[[#This Row],[Last Name]],"@saregama.com")</f>
        <v>Isak.Ellcome@saregama.com</v>
      </c>
      <c r="M275" s="6">
        <f ca="1">(TODAY() - 'Employee Onboarding'!E275)/365.25</f>
        <v>6.7296372347707054</v>
      </c>
      <c r="N275">
        <v>488720</v>
      </c>
      <c r="O275" s="13" t="s">
        <v>22</v>
      </c>
      <c r="P275" s="6">
        <f ca="1">YEARFRAC(Tbl_Employee_Details[[#This Row],[Date of Birth]],TODAY())</f>
        <v>21.236111111111111</v>
      </c>
      <c r="Q275" s="13" t="s">
        <v>990</v>
      </c>
      <c r="R275" s="2" t="s">
        <v>958</v>
      </c>
      <c r="S275" s="11" t="str">
        <f>IF(ISNA(VLOOKUP(A275,Tbl_Exit_Formalities[Employee ID],1,FALSE)), "No", "Yes")</f>
        <v>No</v>
      </c>
      <c r="T275" s="22">
        <f ca="1">Tbl_Employee_Details[[#This Row],[Experience in SAREGAMA]]/((SUMIFS(Tbl_Employee_Details[Experience in SAREGAMA],Tbl_Employee_Details[Department],Tbl_Employee_Details[[#This Row],[Department]])))</f>
        <v>4.9885737712237633E-3</v>
      </c>
    </row>
    <row r="276" spans="1:20" x14ac:dyDescent="0.3">
      <c r="A276" s="2">
        <v>103221</v>
      </c>
      <c r="B276" t="s">
        <v>843</v>
      </c>
      <c r="C276" t="s">
        <v>844</v>
      </c>
      <c r="D276" t="s">
        <v>933</v>
      </c>
      <c r="E276" s="3" t="s">
        <v>2330</v>
      </c>
      <c r="F276" s="4" t="s">
        <v>2331</v>
      </c>
      <c r="G276" t="s">
        <v>2558</v>
      </c>
      <c r="H276" t="s">
        <v>2332</v>
      </c>
      <c r="I276" s="12" t="s">
        <v>2333</v>
      </c>
      <c r="J276" s="12" t="s">
        <v>2334</v>
      </c>
      <c r="K276" t="s">
        <v>983</v>
      </c>
      <c r="L276" t="str">
        <f>_xlfn.CONCAT(Tbl_Employee_Details[[#This Row],[First Name]],".",Tbl_Employee_Details[[#This Row],[Last Name]],"@saregama.com")</f>
        <v>Kenn.Whitear@saregama.com</v>
      </c>
      <c r="M276" s="6">
        <f ca="1">(TODAY() - 'Employee Onboarding'!E276)/365.25</f>
        <v>3.378507871321013</v>
      </c>
      <c r="N276">
        <v>362336</v>
      </c>
      <c r="O276" s="13" t="s">
        <v>22</v>
      </c>
      <c r="P276" s="6">
        <f ca="1">YEARFRAC(Tbl_Employee_Details[[#This Row],[Date of Birth]],TODAY())</f>
        <v>43.802777777777777</v>
      </c>
      <c r="Q276" s="13" t="s">
        <v>990</v>
      </c>
      <c r="R276" s="2" t="s">
        <v>996</v>
      </c>
      <c r="S276" s="11" t="str">
        <f>IF(ISNA(VLOOKUP(A276,Tbl_Exit_Formalities[Employee ID],1,FALSE)), "No", "Yes")</f>
        <v>No</v>
      </c>
      <c r="T276" s="22">
        <f ca="1">Tbl_Employee_Details[[#This Row],[Experience in SAREGAMA]]/((SUMIFS(Tbl_Employee_Details[Experience in SAREGAMA],Tbl_Employee_Details[Department],Tbl_Employee_Details[[#This Row],[Department]])))</f>
        <v>2.5044345132994809E-3</v>
      </c>
    </row>
    <row r="277" spans="1:20" x14ac:dyDescent="0.3">
      <c r="A277" s="2">
        <v>104408</v>
      </c>
      <c r="B277" t="s">
        <v>614</v>
      </c>
      <c r="C277" t="s">
        <v>846</v>
      </c>
      <c r="D277" t="s">
        <v>933</v>
      </c>
      <c r="E277" s="3" t="s">
        <v>2335</v>
      </c>
      <c r="F277" s="4" t="s">
        <v>2336</v>
      </c>
      <c r="G277" t="s">
        <v>2559</v>
      </c>
      <c r="H277" t="s">
        <v>2337</v>
      </c>
      <c r="I277" s="12" t="s">
        <v>2338</v>
      </c>
      <c r="J277" s="12" t="s">
        <v>2339</v>
      </c>
      <c r="K277" t="s">
        <v>983</v>
      </c>
      <c r="L277" t="str">
        <f>_xlfn.CONCAT(Tbl_Employee_Details[[#This Row],[First Name]],".",Tbl_Employee_Details[[#This Row],[Last Name]],"@saregama.com")</f>
        <v>Galvan.Ratie@saregama.com</v>
      </c>
      <c r="M277" s="6">
        <f ca="1">(TODAY() - 'Employee Onboarding'!E277)/365.25</f>
        <v>37.708418891170432</v>
      </c>
      <c r="N277">
        <v>149912</v>
      </c>
      <c r="O277" s="13" t="s">
        <v>46</v>
      </c>
      <c r="P277" s="6">
        <f ca="1">YEARFRAC(Tbl_Employee_Details[[#This Row],[Date of Birth]],TODAY())</f>
        <v>44.924999999999997</v>
      </c>
      <c r="Q277" s="13" t="s">
        <v>948</v>
      </c>
      <c r="R277" s="2" t="s">
        <v>1002</v>
      </c>
      <c r="S277" s="11" t="str">
        <f>IF(ISNA(VLOOKUP(A277,Tbl_Exit_Formalities[Employee ID],1,FALSE)), "No", "Yes")</f>
        <v>No</v>
      </c>
      <c r="T277" s="22">
        <f ca="1">Tbl_Employee_Details[[#This Row],[Experience in SAREGAMA]]/((SUMIFS(Tbl_Employee_Details[Experience in SAREGAMA],Tbl_Employee_Details[Department],Tbl_Employee_Details[[#This Row],[Department]])))</f>
        <v>9.6945167874991217E-2</v>
      </c>
    </row>
    <row r="278" spans="1:20" x14ac:dyDescent="0.3">
      <c r="A278" s="2">
        <v>102211</v>
      </c>
      <c r="B278" t="s">
        <v>848</v>
      </c>
      <c r="C278" t="s">
        <v>849</v>
      </c>
      <c r="D278" t="s">
        <v>950</v>
      </c>
      <c r="E278" s="3" t="s">
        <v>2340</v>
      </c>
      <c r="F278" s="4" t="s">
        <v>2341</v>
      </c>
      <c r="G278" t="s">
        <v>2560</v>
      </c>
      <c r="H278" t="s">
        <v>2342</v>
      </c>
      <c r="I278" s="12" t="s">
        <v>2343</v>
      </c>
      <c r="J278" s="12" t="s">
        <v>2344</v>
      </c>
      <c r="K278" t="s">
        <v>947</v>
      </c>
      <c r="L278" t="str">
        <f>_xlfn.CONCAT(Tbl_Employee_Details[[#This Row],[First Name]],".",Tbl_Employee_Details[[#This Row],[Last Name]],"@saregama.com")</f>
        <v>Grata.Philipp@saregama.com</v>
      </c>
      <c r="M278" s="6">
        <f ca="1">(TODAY() - 'Employee Onboarding'!E278)/365.25</f>
        <v>19.515400410677618</v>
      </c>
      <c r="N278">
        <v>775202</v>
      </c>
      <c r="O278" s="13" t="s">
        <v>63</v>
      </c>
      <c r="P278" s="6">
        <f ca="1">YEARFRAC(Tbl_Employee_Details[[#This Row],[Date of Birth]],TODAY())</f>
        <v>26.027777777777779</v>
      </c>
      <c r="Q278" s="13" t="s">
        <v>1559</v>
      </c>
      <c r="R278" s="2" t="s">
        <v>958</v>
      </c>
      <c r="S278" s="11" t="str">
        <f>IF(ISNA(VLOOKUP(A278,Tbl_Exit_Formalities[Employee ID],1,FALSE)), "No", "Yes")</f>
        <v>No</v>
      </c>
      <c r="T278" s="22">
        <f ca="1">Tbl_Employee_Details[[#This Row],[Experience in SAREGAMA]]/((SUMIFS(Tbl_Employee_Details[Experience in SAREGAMA],Tbl_Employee_Details[Department],Tbl_Employee_Details[[#This Row],[Department]])))</f>
        <v>4.1194930388196341E-2</v>
      </c>
    </row>
    <row r="279" spans="1:20" x14ac:dyDescent="0.3">
      <c r="A279" s="2">
        <v>103104</v>
      </c>
      <c r="B279" t="s">
        <v>851</v>
      </c>
      <c r="C279" t="s">
        <v>852</v>
      </c>
      <c r="D279" t="s">
        <v>950</v>
      </c>
      <c r="E279" s="3" t="s">
        <v>2345</v>
      </c>
      <c r="F279" s="4" t="s">
        <v>2346</v>
      </c>
      <c r="G279" t="s">
        <v>2486</v>
      </c>
      <c r="H279" t="s">
        <v>2347</v>
      </c>
      <c r="I279" s="12" t="s">
        <v>2348</v>
      </c>
      <c r="J279" s="12" t="s">
        <v>2349</v>
      </c>
      <c r="K279" t="s">
        <v>947</v>
      </c>
      <c r="L279" t="str">
        <f>_xlfn.CONCAT(Tbl_Employee_Details[[#This Row],[First Name]],".",Tbl_Employee_Details[[#This Row],[Last Name]],"@saregama.com")</f>
        <v>Antoinette.Godbehere@saregama.com</v>
      </c>
      <c r="M279" s="6">
        <f ca="1">(TODAY() - 'Employee Onboarding'!E279)/365.25</f>
        <v>0.21902806297056809</v>
      </c>
      <c r="N279">
        <v>784867</v>
      </c>
      <c r="O279" s="13" t="s">
        <v>51</v>
      </c>
      <c r="P279" s="6">
        <f ca="1">YEARFRAC(Tbl_Employee_Details[[#This Row],[Date of Birth]],TODAY())</f>
        <v>44.594444444444441</v>
      </c>
      <c r="Q279" s="13" t="s">
        <v>976</v>
      </c>
      <c r="R279" s="2" t="s">
        <v>941</v>
      </c>
      <c r="S279" s="11" t="str">
        <f>IF(ISNA(VLOOKUP(A279,Tbl_Exit_Formalities[Employee ID],1,FALSE)), "No", "Yes")</f>
        <v>No</v>
      </c>
      <c r="T279" s="22">
        <f ca="1">Tbl_Employee_Details[[#This Row],[Experience in SAREGAMA]]/((SUMIFS(Tbl_Employee_Details[Experience in SAREGAMA],Tbl_Employee_Details[Department],Tbl_Employee_Details[[#This Row],[Department]])))</f>
        <v>7.4804806208798912E-4</v>
      </c>
    </row>
    <row r="280" spans="1:20" x14ac:dyDescent="0.3">
      <c r="A280" s="2">
        <v>102990</v>
      </c>
      <c r="B280" t="s">
        <v>854</v>
      </c>
      <c r="C280" t="s">
        <v>855</v>
      </c>
      <c r="D280" t="s">
        <v>933</v>
      </c>
      <c r="E280" s="3" t="s">
        <v>2350</v>
      </c>
      <c r="F280" s="4" t="s">
        <v>2351</v>
      </c>
      <c r="G280" t="s">
        <v>2482</v>
      </c>
      <c r="H280" t="s">
        <v>2352</v>
      </c>
      <c r="I280" s="12" t="s">
        <v>2353</v>
      </c>
      <c r="J280" s="12" t="s">
        <v>2354</v>
      </c>
      <c r="K280" t="s">
        <v>1013</v>
      </c>
      <c r="L280" t="str">
        <f>_xlfn.CONCAT(Tbl_Employee_Details[[#This Row],[First Name]],".",Tbl_Employee_Details[[#This Row],[Last Name]],"@saregama.com")</f>
        <v>Marlo.Costar@saregama.com</v>
      </c>
      <c r="M280" s="6">
        <f ca="1">(TODAY() - 'Employee Onboarding'!E280)/365.25</f>
        <v>2.8008213552361396</v>
      </c>
      <c r="N280">
        <v>422685</v>
      </c>
      <c r="O280" s="13" t="s">
        <v>22</v>
      </c>
      <c r="P280" s="6">
        <f ca="1">YEARFRAC(Tbl_Employee_Details[[#This Row],[Date of Birth]],TODAY())</f>
        <v>20.361111111111111</v>
      </c>
      <c r="Q280" s="13" t="s">
        <v>948</v>
      </c>
      <c r="R280" s="2" t="s">
        <v>965</v>
      </c>
      <c r="S280" s="11" t="str">
        <f>IF(ISNA(VLOOKUP(A280,Tbl_Exit_Formalities[Employee ID],1,FALSE)), "No", "Yes")</f>
        <v>No</v>
      </c>
      <c r="T280" s="22">
        <f ca="1">Tbl_Employee_Details[[#This Row],[Experience in SAREGAMA]]/((SUMIFS(Tbl_Employee_Details[Experience in SAREGAMA],Tbl_Employee_Details[Department],Tbl_Employee_Details[[#This Row],[Department]])))</f>
        <v>7.2006757232350258E-3</v>
      </c>
    </row>
    <row r="281" spans="1:20" x14ac:dyDescent="0.3">
      <c r="A281" s="2">
        <v>105216</v>
      </c>
      <c r="B281" t="s">
        <v>857</v>
      </c>
      <c r="C281" t="s">
        <v>858</v>
      </c>
      <c r="D281" t="s">
        <v>933</v>
      </c>
      <c r="E281" s="3" t="s">
        <v>2355</v>
      </c>
      <c r="F281" s="4" t="s">
        <v>2356</v>
      </c>
      <c r="G281" t="s">
        <v>2484</v>
      </c>
      <c r="H281" t="s">
        <v>2357</v>
      </c>
      <c r="I281" s="12" t="s">
        <v>2358</v>
      </c>
      <c r="J281" s="12" t="s">
        <v>2359</v>
      </c>
      <c r="K281" t="s">
        <v>947</v>
      </c>
      <c r="L281" t="str">
        <f>_xlfn.CONCAT(Tbl_Employee_Details[[#This Row],[First Name]],".",Tbl_Employee_Details[[#This Row],[Last Name]],"@saregama.com")</f>
        <v>Trumann.Bunyard@saregama.com</v>
      </c>
      <c r="M281" s="6">
        <f ca="1">(TODAY() - 'Employee Onboarding'!E281)/365.25</f>
        <v>14.009582477754963</v>
      </c>
      <c r="N281">
        <v>185921</v>
      </c>
      <c r="O281" s="13" t="s">
        <v>13</v>
      </c>
      <c r="P281" s="6">
        <f ca="1">YEARFRAC(Tbl_Employee_Details[[#This Row],[Date of Birth]],TODAY())</f>
        <v>33.25</v>
      </c>
      <c r="Q281" s="13" t="s">
        <v>948</v>
      </c>
      <c r="R281" s="2" t="s">
        <v>949</v>
      </c>
      <c r="S281" s="11" t="str">
        <f>IF(ISNA(VLOOKUP(A281,Tbl_Exit_Formalities[Employee ID],1,FALSE)), "No", "Yes")</f>
        <v>No</v>
      </c>
      <c r="T281" s="22">
        <f ca="1">Tbl_Employee_Details[[#This Row],[Experience in SAREGAMA]]/((SUMIFS(Tbl_Employee_Details[Experience in SAREGAMA],Tbl_Employee_Details[Department],Tbl_Employee_Details[[#This Row],[Department]])))</f>
        <v>3.6017456183571481E-2</v>
      </c>
    </row>
    <row r="282" spans="1:20" x14ac:dyDescent="0.3">
      <c r="A282" s="2">
        <v>103919</v>
      </c>
      <c r="B282" t="s">
        <v>860</v>
      </c>
      <c r="C282" t="s">
        <v>861</v>
      </c>
      <c r="D282" t="s">
        <v>933</v>
      </c>
      <c r="E282" s="3" t="s">
        <v>2360</v>
      </c>
      <c r="F282" s="4" t="s">
        <v>2361</v>
      </c>
      <c r="G282" t="s">
        <v>2563</v>
      </c>
      <c r="H282" t="s">
        <v>2362</v>
      </c>
      <c r="I282" s="12" t="s">
        <v>2363</v>
      </c>
      <c r="J282" s="12" t="s">
        <v>2364</v>
      </c>
      <c r="K282" t="s">
        <v>1066</v>
      </c>
      <c r="L282" t="str">
        <f>_xlfn.CONCAT(Tbl_Employee_Details[[#This Row],[First Name]],".",Tbl_Employee_Details[[#This Row],[Last Name]],"@saregama.com")</f>
        <v>Rolf.Frankom@saregama.com</v>
      </c>
      <c r="M282" s="6">
        <f ca="1">(TODAY() - 'Employee Onboarding'!E282)/365.25</f>
        <v>11.597535934291582</v>
      </c>
      <c r="N282">
        <v>335773</v>
      </c>
      <c r="O282" s="13" t="s">
        <v>35</v>
      </c>
      <c r="P282" s="6">
        <f ca="1">YEARFRAC(Tbl_Employee_Details[[#This Row],[Date of Birth]],TODAY())</f>
        <v>33.81666666666667</v>
      </c>
      <c r="Q282" s="13" t="s">
        <v>948</v>
      </c>
      <c r="R282" s="2" t="s">
        <v>1002</v>
      </c>
      <c r="S282" s="11" t="str">
        <f>IF(ISNA(VLOOKUP(A282,Tbl_Exit_Formalities[Employee ID],1,FALSE)), "No", "Yes")</f>
        <v>No</v>
      </c>
      <c r="T282" s="22">
        <f ca="1">Tbl_Employee_Details[[#This Row],[Experience in SAREGAMA]]/((SUMIFS(Tbl_Employee_Details[Experience in SAREGAMA],Tbl_Employee_Details[Department],Tbl_Employee_Details[[#This Row],[Department]])))</f>
        <v>2.9816287745477586E-2</v>
      </c>
    </row>
    <row r="283" spans="1:20" x14ac:dyDescent="0.3">
      <c r="A283" s="2">
        <v>106324</v>
      </c>
      <c r="B283" t="s">
        <v>863</v>
      </c>
      <c r="C283" t="s">
        <v>864</v>
      </c>
      <c r="D283" t="s">
        <v>933</v>
      </c>
      <c r="E283" s="3" t="s">
        <v>2365</v>
      </c>
      <c r="F283" s="4" t="s">
        <v>2366</v>
      </c>
      <c r="G283" t="s">
        <v>2563</v>
      </c>
      <c r="H283" t="s">
        <v>2367</v>
      </c>
      <c r="I283" s="12" t="s">
        <v>2368</v>
      </c>
      <c r="J283" s="12" t="s">
        <v>2369</v>
      </c>
      <c r="K283" t="s">
        <v>939</v>
      </c>
      <c r="L283" t="str">
        <f>_xlfn.CONCAT(Tbl_Employee_Details[[#This Row],[First Name]],".",Tbl_Employee_Details[[#This Row],[Last Name]],"@saregama.com")</f>
        <v>Sean.Eslie@saregama.com</v>
      </c>
      <c r="M283" s="6">
        <f ca="1">(TODAY() - 'Employee Onboarding'!E283)/365.25</f>
        <v>32.703627652292951</v>
      </c>
      <c r="N283">
        <v>616285</v>
      </c>
      <c r="O283" s="13" t="s">
        <v>63</v>
      </c>
      <c r="P283" s="6">
        <f ca="1">YEARFRAC(Tbl_Employee_Details[[#This Row],[Date of Birth]],TODAY())</f>
        <v>44.530555555555559</v>
      </c>
      <c r="Q283" s="13" t="s">
        <v>1559</v>
      </c>
      <c r="R283" s="2" t="s">
        <v>949</v>
      </c>
      <c r="S283" s="11" t="str">
        <f>IF(ISNA(VLOOKUP(A283,Tbl_Exit_Formalities[Employee ID],1,FALSE)), "No", "Yes")</f>
        <v>No</v>
      </c>
      <c r="T283" s="22">
        <f ca="1">Tbl_Employee_Details[[#This Row],[Experience in SAREGAMA]]/((SUMIFS(Tbl_Employee_Details[Experience in SAREGAMA],Tbl_Employee_Details[Department],Tbl_Employee_Details[[#This Row],[Department]])))</f>
        <v>6.9033872543070335E-2</v>
      </c>
    </row>
    <row r="284" spans="1:20" x14ac:dyDescent="0.3">
      <c r="A284" s="2">
        <v>106751</v>
      </c>
      <c r="B284" t="s">
        <v>866</v>
      </c>
      <c r="C284" t="s">
        <v>867</v>
      </c>
      <c r="D284" t="s">
        <v>933</v>
      </c>
      <c r="E284" s="3" t="s">
        <v>2370</v>
      </c>
      <c r="F284" s="4" t="s">
        <v>2371</v>
      </c>
      <c r="G284" t="s">
        <v>2486</v>
      </c>
      <c r="H284" t="s">
        <v>2372</v>
      </c>
      <c r="I284" s="12" t="s">
        <v>2373</v>
      </c>
      <c r="J284" s="12" t="s">
        <v>2374</v>
      </c>
      <c r="K284" t="s">
        <v>989</v>
      </c>
      <c r="L284" t="str">
        <f>_xlfn.CONCAT(Tbl_Employee_Details[[#This Row],[First Name]],".",Tbl_Employee_Details[[#This Row],[Last Name]],"@saregama.com")</f>
        <v>Feodor.FitzGilbert@saregama.com</v>
      </c>
      <c r="M284" s="6">
        <f ca="1">(TODAY() - 'Employee Onboarding'!E284)/365.25</f>
        <v>2.5790554414784395</v>
      </c>
      <c r="N284">
        <v>294904</v>
      </c>
      <c r="O284" s="13" t="s">
        <v>35</v>
      </c>
      <c r="P284" s="6">
        <f ca="1">YEARFRAC(Tbl_Employee_Details[[#This Row],[Date of Birth]],TODAY())</f>
        <v>23.591666666666665</v>
      </c>
      <c r="Q284" s="13" t="s">
        <v>948</v>
      </c>
      <c r="R284" s="2" t="s">
        <v>965</v>
      </c>
      <c r="S284" s="11" t="str">
        <f>IF(ISNA(VLOOKUP(A284,Tbl_Exit_Formalities[Employee ID],1,FALSE)), "No", "Yes")</f>
        <v>Yes</v>
      </c>
      <c r="T284" s="22">
        <f ca="1">Tbl_Employee_Details[[#This Row],[Experience in SAREGAMA]]/((SUMIFS(Tbl_Employee_Details[Experience in SAREGAMA],Tbl_Employee_Details[Department],Tbl_Employee_Details[[#This Row],[Department]])))</f>
        <v>6.6305342436826925E-3</v>
      </c>
    </row>
    <row r="285" spans="1:20" x14ac:dyDescent="0.3">
      <c r="A285" s="2">
        <v>105181</v>
      </c>
      <c r="B285" t="s">
        <v>869</v>
      </c>
      <c r="C285" t="s">
        <v>870</v>
      </c>
      <c r="D285" t="s">
        <v>950</v>
      </c>
      <c r="E285" s="3" t="s">
        <v>2375</v>
      </c>
      <c r="F285" s="4" t="s">
        <v>2376</v>
      </c>
      <c r="G285" t="s">
        <v>2486</v>
      </c>
      <c r="H285" t="s">
        <v>2377</v>
      </c>
      <c r="I285" s="12" t="s">
        <v>2378</v>
      </c>
      <c r="J285" s="12" t="s">
        <v>2379</v>
      </c>
      <c r="K285" t="s">
        <v>989</v>
      </c>
      <c r="L285" t="str">
        <f>_xlfn.CONCAT(Tbl_Employee_Details[[#This Row],[First Name]],".",Tbl_Employee_Details[[#This Row],[Last Name]],"@saregama.com")</f>
        <v>Loretta.Minot@saregama.com</v>
      </c>
      <c r="M285" s="6">
        <f ca="1">(TODAY() - 'Employee Onboarding'!E285)/365.25</f>
        <v>2.4859685147159478</v>
      </c>
      <c r="N285">
        <v>302036</v>
      </c>
      <c r="O285" s="13" t="s">
        <v>35</v>
      </c>
      <c r="P285" s="6">
        <f ca="1">YEARFRAC(Tbl_Employee_Details[[#This Row],[Date of Birth]],TODAY())</f>
        <v>35.522222222222226</v>
      </c>
      <c r="Q285" s="13" t="s">
        <v>948</v>
      </c>
      <c r="R285" s="2" t="s">
        <v>1019</v>
      </c>
      <c r="S285" s="11" t="str">
        <f>IF(ISNA(VLOOKUP(A285,Tbl_Exit_Formalities[Employee ID],1,FALSE)), "No", "Yes")</f>
        <v>No</v>
      </c>
      <c r="T285" s="22">
        <f ca="1">Tbl_Employee_Details[[#This Row],[Experience in SAREGAMA]]/((SUMIFS(Tbl_Employee_Details[Experience in SAREGAMA],Tbl_Employee_Details[Department],Tbl_Employee_Details[[#This Row],[Department]])))</f>
        <v>6.3912155979446751E-3</v>
      </c>
    </row>
    <row r="286" spans="1:20" x14ac:dyDescent="0.3">
      <c r="A286" s="2">
        <v>106094</v>
      </c>
      <c r="B286" t="s">
        <v>872</v>
      </c>
      <c r="C286" t="s">
        <v>873</v>
      </c>
      <c r="D286" t="s">
        <v>933</v>
      </c>
      <c r="E286" s="3" t="s">
        <v>2380</v>
      </c>
      <c r="F286" s="4" t="s">
        <v>2381</v>
      </c>
      <c r="G286" t="s">
        <v>2563</v>
      </c>
      <c r="H286" t="s">
        <v>2382</v>
      </c>
      <c r="I286" s="12" t="s">
        <v>2383</v>
      </c>
      <c r="J286" s="12" t="s">
        <v>2384</v>
      </c>
      <c r="K286" t="s">
        <v>1013</v>
      </c>
      <c r="L286" t="str">
        <f>_xlfn.CONCAT(Tbl_Employee_Details[[#This Row],[First Name]],".",Tbl_Employee_Details[[#This Row],[Last Name]],"@saregama.com")</f>
        <v>Vaughn.Dormand@saregama.com</v>
      </c>
      <c r="M286" s="6">
        <f ca="1">(TODAY() - 'Employee Onboarding'!E286)/365.25</f>
        <v>20.238193018480494</v>
      </c>
      <c r="N286">
        <v>393074</v>
      </c>
      <c r="O286" s="13" t="s">
        <v>85</v>
      </c>
      <c r="P286" s="6">
        <f ca="1">YEARFRAC(Tbl_Employee_Details[[#This Row],[Date of Birth]],TODAY())</f>
        <v>24.55</v>
      </c>
      <c r="Q286" s="13" t="s">
        <v>948</v>
      </c>
      <c r="R286" s="2" t="s">
        <v>1019</v>
      </c>
      <c r="S286" s="11" t="str">
        <f>IF(ISNA(VLOOKUP(A286,Tbl_Exit_Formalities[Employee ID],1,FALSE)), "No", "Yes")</f>
        <v>Yes</v>
      </c>
      <c r="T286" s="22">
        <f ca="1">Tbl_Employee_Details[[#This Row],[Experience in SAREGAMA]]/((SUMIFS(Tbl_Employee_Details[Experience in SAREGAMA],Tbl_Employee_Details[Department],Tbl_Employee_Details[[#This Row],[Department]])))</f>
        <v>5.2030689096924064E-2</v>
      </c>
    </row>
    <row r="287" spans="1:20" x14ac:dyDescent="0.3">
      <c r="A287" s="2">
        <v>103031</v>
      </c>
      <c r="B287" t="s">
        <v>875</v>
      </c>
      <c r="C287" t="s">
        <v>876</v>
      </c>
      <c r="D287" t="s">
        <v>933</v>
      </c>
      <c r="E287" s="3" t="s">
        <v>2385</v>
      </c>
      <c r="F287" s="4" t="s">
        <v>2386</v>
      </c>
      <c r="G287" t="s">
        <v>2561</v>
      </c>
      <c r="H287" t="s">
        <v>2387</v>
      </c>
      <c r="I287" s="12" t="s">
        <v>2388</v>
      </c>
      <c r="J287" s="12" t="s">
        <v>2389</v>
      </c>
      <c r="K287" t="s">
        <v>939</v>
      </c>
      <c r="L287" t="str">
        <f>_xlfn.CONCAT(Tbl_Employee_Details[[#This Row],[First Name]],".",Tbl_Employee_Details[[#This Row],[Last Name]],"@saregama.com")</f>
        <v>Dalston.Dwire@saregama.com</v>
      </c>
      <c r="M287" s="6">
        <f ca="1">(TODAY() - 'Employee Onboarding'!E287)/365.25</f>
        <v>14.913073237508556</v>
      </c>
      <c r="N287">
        <v>361666</v>
      </c>
      <c r="O287" s="13" t="s">
        <v>22</v>
      </c>
      <c r="P287" s="6">
        <f ca="1">YEARFRAC(Tbl_Employee_Details[[#This Row],[Date of Birth]],TODAY())</f>
        <v>29.419444444444444</v>
      </c>
      <c r="Q287" s="13" t="s">
        <v>948</v>
      </c>
      <c r="R287" s="2" t="s">
        <v>958</v>
      </c>
      <c r="S287" s="11" t="str">
        <f>IF(ISNA(VLOOKUP(A287,Tbl_Exit_Formalities[Employee ID],1,FALSE)), "No", "Yes")</f>
        <v>No</v>
      </c>
      <c r="T287" s="22">
        <f ca="1">Tbl_Employee_Details[[#This Row],[Experience in SAREGAMA]]/((SUMIFS(Tbl_Employee_Details[Experience in SAREGAMA],Tbl_Employee_Details[Department],Tbl_Employee_Details[[#This Row],[Department]])))</f>
        <v>3.8340254803969881E-2</v>
      </c>
    </row>
    <row r="288" spans="1:20" x14ac:dyDescent="0.3">
      <c r="A288" s="2">
        <v>103852</v>
      </c>
      <c r="B288" t="s">
        <v>518</v>
      </c>
      <c r="C288" t="s">
        <v>878</v>
      </c>
      <c r="D288" t="s">
        <v>933</v>
      </c>
      <c r="E288" s="3" t="s">
        <v>2390</v>
      </c>
      <c r="F288" s="4" t="s">
        <v>2391</v>
      </c>
      <c r="G288" t="s">
        <v>2498</v>
      </c>
      <c r="H288" t="s">
        <v>2392</v>
      </c>
      <c r="I288" s="12" t="s">
        <v>2393</v>
      </c>
      <c r="J288" s="12" t="s">
        <v>2394</v>
      </c>
      <c r="K288" t="s">
        <v>956</v>
      </c>
      <c r="L288" t="str">
        <f>_xlfn.CONCAT(Tbl_Employee_Details[[#This Row],[First Name]],".",Tbl_Employee_Details[[#This Row],[Last Name]],"@saregama.com")</f>
        <v>Peirce.Liddington@saregama.com</v>
      </c>
      <c r="M288" s="6">
        <f ca="1">(TODAY() - 'Employee Onboarding'!E288)/365.25</f>
        <v>17.607118412046542</v>
      </c>
      <c r="N288">
        <v>484270</v>
      </c>
      <c r="O288" s="13" t="s">
        <v>22</v>
      </c>
      <c r="P288" s="6">
        <f ca="1">YEARFRAC(Tbl_Employee_Details[[#This Row],[Date of Birth]],TODAY())</f>
        <v>34.105555555555554</v>
      </c>
      <c r="Q288" s="13" t="s">
        <v>948</v>
      </c>
      <c r="R288" s="2" t="s">
        <v>977</v>
      </c>
      <c r="S288" s="11" t="str">
        <f>IF(ISNA(VLOOKUP(A288,Tbl_Exit_Formalities[Employee ID],1,FALSE)), "No", "Yes")</f>
        <v>No</v>
      </c>
      <c r="T288" s="22">
        <f ca="1">Tbl_Employee_Details[[#This Row],[Experience in SAREGAMA]]/((SUMIFS(Tbl_Employee_Details[Experience in SAREGAMA],Tbl_Employee_Details[Department],Tbl_Employee_Details[[#This Row],[Department]])))</f>
        <v>4.5266417962976001E-2</v>
      </c>
    </row>
    <row r="289" spans="1:20" x14ac:dyDescent="0.3">
      <c r="A289" s="2">
        <v>103678</v>
      </c>
      <c r="B289" t="s">
        <v>880</v>
      </c>
      <c r="C289" t="s">
        <v>881</v>
      </c>
      <c r="D289" t="s">
        <v>933</v>
      </c>
      <c r="E289" s="3" t="s">
        <v>2395</v>
      </c>
      <c r="F289" s="4" t="s">
        <v>2396</v>
      </c>
      <c r="G289" t="s">
        <v>2482</v>
      </c>
      <c r="H289" t="s">
        <v>2397</v>
      </c>
      <c r="I289" s="12" t="s">
        <v>2398</v>
      </c>
      <c r="J289" s="12" t="s">
        <v>2399</v>
      </c>
      <c r="K289" t="s">
        <v>947</v>
      </c>
      <c r="L289" t="str">
        <f>_xlfn.CONCAT(Tbl_Employee_Details[[#This Row],[First Name]],".",Tbl_Employee_Details[[#This Row],[Last Name]],"@saregama.com")</f>
        <v>Nikolai.Wrightim@saregama.com</v>
      </c>
      <c r="M289" s="6">
        <f ca="1">(TODAY() - 'Employee Onboarding'!E289)/365.25</f>
        <v>33.848049281314168</v>
      </c>
      <c r="N289">
        <v>776735</v>
      </c>
      <c r="O289" s="13" t="s">
        <v>63</v>
      </c>
      <c r="P289" s="6">
        <f ca="1">YEARFRAC(Tbl_Employee_Details[[#This Row],[Date of Birth]],TODAY())</f>
        <v>40.43611111111111</v>
      </c>
      <c r="Q289" s="13" t="s">
        <v>976</v>
      </c>
      <c r="R289" s="2" t="s">
        <v>1002</v>
      </c>
      <c r="S289" s="11" t="str">
        <f>IF(ISNA(VLOOKUP(A289,Tbl_Exit_Formalities[Employee ID],1,FALSE)), "No", "Yes")</f>
        <v>No</v>
      </c>
      <c r="T289" s="22">
        <f ca="1">Tbl_Employee_Details[[#This Row],[Experience in SAREGAMA]]/((SUMIFS(Tbl_Employee_Details[Experience in SAREGAMA],Tbl_Employee_Details[Department],Tbl_Employee_Details[[#This Row],[Department]])))</f>
        <v>0.11560147739492262</v>
      </c>
    </row>
    <row r="290" spans="1:20" x14ac:dyDescent="0.3">
      <c r="A290" s="2">
        <v>102205</v>
      </c>
      <c r="B290" t="s">
        <v>883</v>
      </c>
      <c r="C290" t="s">
        <v>884</v>
      </c>
      <c r="D290" t="s">
        <v>933</v>
      </c>
      <c r="E290" s="3" t="s">
        <v>2400</v>
      </c>
      <c r="F290" s="4" t="s">
        <v>2401</v>
      </c>
      <c r="G290" t="s">
        <v>2549</v>
      </c>
      <c r="H290" t="s">
        <v>2402</v>
      </c>
      <c r="I290" s="12" t="s">
        <v>2403</v>
      </c>
      <c r="J290" s="12" t="s">
        <v>2404</v>
      </c>
      <c r="K290" t="s">
        <v>983</v>
      </c>
      <c r="L290" t="str">
        <f>_xlfn.CONCAT(Tbl_Employee_Details[[#This Row],[First Name]],".",Tbl_Employee_Details[[#This Row],[Last Name]],"@saregama.com")</f>
        <v>Augustine.Burnage@saregama.com</v>
      </c>
      <c r="M290" s="6">
        <f ca="1">(TODAY() - 'Employee Onboarding'!E290)/365.25</f>
        <v>1.9767282683093772</v>
      </c>
      <c r="N290">
        <v>435049</v>
      </c>
      <c r="O290" s="13" t="s">
        <v>22</v>
      </c>
      <c r="P290" s="6">
        <f ca="1">YEARFRAC(Tbl_Employee_Details[[#This Row],[Date of Birth]],TODAY())</f>
        <v>21.486111111111111</v>
      </c>
      <c r="Q290" s="13" t="s">
        <v>948</v>
      </c>
      <c r="R290" s="2" t="s">
        <v>977</v>
      </c>
      <c r="S290" s="11" t="str">
        <f>IF(ISNA(VLOOKUP(A290,Tbl_Exit_Formalities[Employee ID],1,FALSE)), "No", "Yes")</f>
        <v>Yes</v>
      </c>
      <c r="T290" s="22">
        <f ca="1">Tbl_Employee_Details[[#This Row],[Experience in SAREGAMA]]/((SUMIFS(Tbl_Employee_Details[Experience in SAREGAMA],Tbl_Employee_Details[Department],Tbl_Employee_Details[[#This Row],[Department]])))</f>
        <v>5.0820018300837622E-3</v>
      </c>
    </row>
    <row r="291" spans="1:20" x14ac:dyDescent="0.3">
      <c r="A291" s="2">
        <v>107564</v>
      </c>
      <c r="B291" t="s">
        <v>886</v>
      </c>
      <c r="C291" t="s">
        <v>887</v>
      </c>
      <c r="D291" t="s">
        <v>950</v>
      </c>
      <c r="E291" s="3" t="s">
        <v>2405</v>
      </c>
      <c r="F291" s="4" t="s">
        <v>2406</v>
      </c>
      <c r="G291" t="s">
        <v>2488</v>
      </c>
      <c r="H291" t="s">
        <v>2407</v>
      </c>
      <c r="I291" s="12" t="s">
        <v>2408</v>
      </c>
      <c r="J291" s="12" t="s">
        <v>2409</v>
      </c>
      <c r="K291" t="s">
        <v>939</v>
      </c>
      <c r="L291" t="str">
        <f>_xlfn.CONCAT(Tbl_Employee_Details[[#This Row],[First Name]],".",Tbl_Employee_Details[[#This Row],[Last Name]],"@saregama.com")</f>
        <v>Arleen.Manifold@saregama.com</v>
      </c>
      <c r="M291" s="6">
        <f ca="1">(TODAY() - 'Employee Onboarding'!E291)/365.25</f>
        <v>2.9130732375085557</v>
      </c>
      <c r="N291">
        <v>403894</v>
      </c>
      <c r="O291" s="13" t="s">
        <v>22</v>
      </c>
      <c r="P291" s="6">
        <f ca="1">YEARFRAC(Tbl_Employee_Details[[#This Row],[Date of Birth]],TODAY())</f>
        <v>43.836111111111109</v>
      </c>
      <c r="Q291" s="13" t="s">
        <v>948</v>
      </c>
      <c r="R291" s="2" t="s">
        <v>996</v>
      </c>
      <c r="S291" s="11" t="str">
        <f>IF(ISNA(VLOOKUP(A291,Tbl_Exit_Formalities[Employee ID],1,FALSE)), "No", "Yes")</f>
        <v>No</v>
      </c>
      <c r="T291" s="22">
        <f ca="1">Tbl_Employee_Details[[#This Row],[Experience in SAREGAMA]]/((SUMIFS(Tbl_Employee_Details[Experience in SAREGAMA],Tbl_Employee_Details[Department],Tbl_Employee_Details[[#This Row],[Department]])))</f>
        <v>7.4892658548602808E-3</v>
      </c>
    </row>
    <row r="292" spans="1:20" x14ac:dyDescent="0.3">
      <c r="A292" s="2">
        <v>103536</v>
      </c>
      <c r="B292" t="s">
        <v>889</v>
      </c>
      <c r="C292" t="s">
        <v>890</v>
      </c>
      <c r="D292" t="s">
        <v>933</v>
      </c>
      <c r="E292" s="3" t="s">
        <v>2086</v>
      </c>
      <c r="F292" s="4" t="s">
        <v>2410</v>
      </c>
      <c r="G292" t="s">
        <v>2503</v>
      </c>
      <c r="H292" t="s">
        <v>2411</v>
      </c>
      <c r="I292" s="12" t="s">
        <v>2412</v>
      </c>
      <c r="J292" s="12" t="s">
        <v>2413</v>
      </c>
      <c r="K292" t="s">
        <v>989</v>
      </c>
      <c r="L292" t="str">
        <f>_xlfn.CONCAT(Tbl_Employee_Details[[#This Row],[First Name]],".",Tbl_Employee_Details[[#This Row],[Last Name]],"@saregama.com")</f>
        <v>Hans.Rillatt@saregama.com</v>
      </c>
      <c r="M292" s="6">
        <f ca="1">(TODAY() - 'Employee Onboarding'!E292)/365.25</f>
        <v>37.374401095140314</v>
      </c>
      <c r="N292">
        <v>359901</v>
      </c>
      <c r="O292" s="13" t="s">
        <v>85</v>
      </c>
      <c r="P292" s="6">
        <f ca="1">YEARFRAC(Tbl_Employee_Details[[#This Row],[Date of Birth]],TODAY())</f>
        <v>39.947222222222223</v>
      </c>
      <c r="Q292" s="13" t="s">
        <v>948</v>
      </c>
      <c r="R292" s="2" t="s">
        <v>1019</v>
      </c>
      <c r="S292" s="11" t="str">
        <f>IF(ISNA(VLOOKUP(A292,Tbl_Exit_Formalities[Employee ID],1,FALSE)), "No", "Yes")</f>
        <v>No</v>
      </c>
      <c r="T292" s="22">
        <f ca="1">Tbl_Employee_Details[[#This Row],[Experience in SAREGAMA]]/((SUMIFS(Tbl_Employee_Details[Experience in SAREGAMA],Tbl_Employee_Details[Department],Tbl_Employee_Details[[#This Row],[Department]])))</f>
        <v>9.6086436263813621E-2</v>
      </c>
    </row>
    <row r="293" spans="1:20" x14ac:dyDescent="0.3">
      <c r="A293" s="2">
        <v>103434</v>
      </c>
      <c r="B293" t="s">
        <v>892</v>
      </c>
      <c r="C293" t="s">
        <v>893</v>
      </c>
      <c r="D293" t="s">
        <v>933</v>
      </c>
      <c r="E293" s="3" t="s">
        <v>2414</v>
      </c>
      <c r="F293" s="4" t="s">
        <v>2415</v>
      </c>
      <c r="G293" t="s">
        <v>2537</v>
      </c>
      <c r="H293" t="s">
        <v>2416</v>
      </c>
      <c r="I293" s="12" t="s">
        <v>2417</v>
      </c>
      <c r="J293" s="12" t="s">
        <v>2418</v>
      </c>
      <c r="K293" t="s">
        <v>1013</v>
      </c>
      <c r="L293" t="str">
        <f>_xlfn.CONCAT(Tbl_Employee_Details[[#This Row],[First Name]],".",Tbl_Employee_Details[[#This Row],[Last Name]],"@saregama.com")</f>
        <v>Llywellyn.Micallef@saregama.com</v>
      </c>
      <c r="M293" s="6">
        <f ca="1">(TODAY() - 'Employee Onboarding'!E293)/365.25</f>
        <v>17.927446954141001</v>
      </c>
      <c r="N293">
        <v>404956</v>
      </c>
      <c r="O293" s="13" t="s">
        <v>22</v>
      </c>
      <c r="P293" s="6">
        <f ca="1">YEARFRAC(Tbl_Employee_Details[[#This Row],[Date of Birth]],TODAY())</f>
        <v>29.475000000000001</v>
      </c>
      <c r="Q293" s="13" t="s">
        <v>948</v>
      </c>
      <c r="R293" s="2" t="s">
        <v>996</v>
      </c>
      <c r="S293" s="11" t="str">
        <f>IF(ISNA(VLOOKUP(A293,Tbl_Exit_Formalities[Employee ID],1,FALSE)), "No", "Yes")</f>
        <v>No</v>
      </c>
      <c r="T293" s="22">
        <f ca="1">Tbl_Employee_Details[[#This Row],[Experience in SAREGAMA]]/((SUMIFS(Tbl_Employee_Details[Experience in SAREGAMA],Tbl_Employee_Details[Department],Tbl_Employee_Details[[#This Row],[Department]])))</f>
        <v>4.6089955655662714E-2</v>
      </c>
    </row>
    <row r="294" spans="1:20" x14ac:dyDescent="0.3">
      <c r="A294" s="2">
        <v>102713</v>
      </c>
      <c r="B294" t="s">
        <v>895</v>
      </c>
      <c r="C294" t="s">
        <v>896</v>
      </c>
      <c r="D294" t="s">
        <v>933</v>
      </c>
      <c r="E294" s="3" t="s">
        <v>2419</v>
      </c>
      <c r="F294" s="4" t="s">
        <v>2420</v>
      </c>
      <c r="G294" t="s">
        <v>2482</v>
      </c>
      <c r="H294" t="s">
        <v>2421</v>
      </c>
      <c r="I294" s="12" t="s">
        <v>2422</v>
      </c>
      <c r="J294" s="12" t="s">
        <v>2423</v>
      </c>
      <c r="K294" t="s">
        <v>939</v>
      </c>
      <c r="L294" t="str">
        <f>_xlfn.CONCAT(Tbl_Employee_Details[[#This Row],[First Name]],".",Tbl_Employee_Details[[#This Row],[Last Name]],"@saregama.com")</f>
        <v>Leonardo.Grinnov@saregama.com</v>
      </c>
      <c r="M294" s="6">
        <f ca="1">(TODAY() - 'Employee Onboarding'!E294)/365.25</f>
        <v>3.7645448323066395</v>
      </c>
      <c r="N294">
        <v>126243</v>
      </c>
      <c r="O294" s="13" t="s">
        <v>13</v>
      </c>
      <c r="P294" s="6">
        <f ca="1">YEARFRAC(Tbl_Employee_Details[[#This Row],[Date of Birth]],TODAY())</f>
        <v>24.324999999999999</v>
      </c>
      <c r="Q294" s="13" t="s">
        <v>948</v>
      </c>
      <c r="R294" s="2" t="s">
        <v>958</v>
      </c>
      <c r="S294" s="11" t="str">
        <f>IF(ISNA(VLOOKUP(A294,Tbl_Exit_Formalities[Employee ID],1,FALSE)), "No", "Yes")</f>
        <v>No</v>
      </c>
      <c r="T294" s="22">
        <f ca="1">Tbl_Employee_Details[[#This Row],[Experience in SAREGAMA]]/((SUMIFS(Tbl_Employee_Details[Experience in SAREGAMA],Tbl_Employee_Details[Department],Tbl_Employee_Details[[#This Row],[Department]])))</f>
        <v>9.6783275849933147E-3</v>
      </c>
    </row>
    <row r="295" spans="1:20" x14ac:dyDescent="0.3">
      <c r="A295" s="2">
        <v>106345</v>
      </c>
      <c r="B295" t="s">
        <v>898</v>
      </c>
      <c r="C295" t="s">
        <v>899</v>
      </c>
      <c r="D295" t="s">
        <v>950</v>
      </c>
      <c r="E295" s="3" t="s">
        <v>2424</v>
      </c>
      <c r="F295" s="4" t="s">
        <v>2425</v>
      </c>
      <c r="G295" t="s">
        <v>2491</v>
      </c>
      <c r="H295" t="s">
        <v>2426</v>
      </c>
      <c r="I295" s="12" t="s">
        <v>2427</v>
      </c>
      <c r="J295" s="12" t="s">
        <v>2428</v>
      </c>
      <c r="K295" t="s">
        <v>989</v>
      </c>
      <c r="L295" t="str">
        <f>_xlfn.CONCAT(Tbl_Employee_Details[[#This Row],[First Name]],".",Tbl_Employee_Details[[#This Row],[Last Name]],"@saregama.com")</f>
        <v>Cora.Guard@saregama.com</v>
      </c>
      <c r="M295" s="6">
        <f ca="1">(TODAY() - 'Employee Onboarding'!E295)/365.25</f>
        <v>3.5044490075290895</v>
      </c>
      <c r="N295">
        <v>383109</v>
      </c>
      <c r="O295" s="13" t="s">
        <v>22</v>
      </c>
      <c r="P295" s="6">
        <f ca="1">YEARFRAC(Tbl_Employee_Details[[#This Row],[Date of Birth]],TODAY())</f>
        <v>44.74722222222222</v>
      </c>
      <c r="Q295" s="13" t="s">
        <v>948</v>
      </c>
      <c r="R295" s="2" t="s">
        <v>941</v>
      </c>
      <c r="S295" s="11" t="str">
        <f>IF(ISNA(VLOOKUP(A295,Tbl_Exit_Formalities[Employee ID],1,FALSE)), "No", "Yes")</f>
        <v>Yes</v>
      </c>
      <c r="T295" s="22">
        <f ca="1">Tbl_Employee_Details[[#This Row],[Experience in SAREGAMA]]/((SUMIFS(Tbl_Employee_Details[Experience in SAREGAMA],Tbl_Employee_Details[Department],Tbl_Employee_Details[[#This Row],[Department]])))</f>
        <v>9.0096431336665027E-3</v>
      </c>
    </row>
    <row r="296" spans="1:20" x14ac:dyDescent="0.3">
      <c r="A296" s="2">
        <v>105507</v>
      </c>
      <c r="B296" t="s">
        <v>901</v>
      </c>
      <c r="C296" t="s">
        <v>902</v>
      </c>
      <c r="D296" t="s">
        <v>933</v>
      </c>
      <c r="E296" s="3" t="s">
        <v>2429</v>
      </c>
      <c r="F296" s="4" t="s">
        <v>2430</v>
      </c>
      <c r="G296" t="s">
        <v>2562</v>
      </c>
      <c r="H296" t="s">
        <v>2431</v>
      </c>
      <c r="I296" s="12" t="s">
        <v>2432</v>
      </c>
      <c r="J296" s="12" t="s">
        <v>2433</v>
      </c>
      <c r="K296" t="s">
        <v>989</v>
      </c>
      <c r="L296" t="str">
        <f>_xlfn.CONCAT(Tbl_Employee_Details[[#This Row],[First Name]],".",Tbl_Employee_Details[[#This Row],[Last Name]],"@saregama.com")</f>
        <v>Gasparo.Shelsher@saregama.com</v>
      </c>
      <c r="M296" s="6">
        <f ca="1">(TODAY() - 'Employee Onboarding'!E296)/365.25</f>
        <v>14.932238193018481</v>
      </c>
      <c r="N296">
        <v>153380</v>
      </c>
      <c r="O296" s="13" t="s">
        <v>46</v>
      </c>
      <c r="P296" s="6">
        <f ca="1">YEARFRAC(Tbl_Employee_Details[[#This Row],[Date of Birth]],TODAY())</f>
        <v>26.547222222222221</v>
      </c>
      <c r="Q296" s="13" t="s">
        <v>948</v>
      </c>
      <c r="R296" s="2" t="s">
        <v>1002</v>
      </c>
      <c r="S296" s="11" t="str">
        <f>IF(ISNA(VLOOKUP(A296,Tbl_Exit_Formalities[Employee ID],1,FALSE)), "No", "Yes")</f>
        <v>No</v>
      </c>
      <c r="T296" s="22">
        <f ca="1">Tbl_Employee_Details[[#This Row],[Experience in SAREGAMA]]/((SUMIFS(Tbl_Employee_Details[Experience in SAREGAMA],Tbl_Employee_Details[Department],Tbl_Employee_Details[[#This Row],[Department]])))</f>
        <v>3.8389526289857118E-2</v>
      </c>
    </row>
    <row r="297" spans="1:20" x14ac:dyDescent="0.3">
      <c r="A297" s="2">
        <v>104580</v>
      </c>
      <c r="B297" t="s">
        <v>904</v>
      </c>
      <c r="C297" t="s">
        <v>905</v>
      </c>
      <c r="D297" t="s">
        <v>950</v>
      </c>
      <c r="E297" s="3" t="s">
        <v>2434</v>
      </c>
      <c r="F297" s="4" t="s">
        <v>2435</v>
      </c>
      <c r="G297" t="s">
        <v>2482</v>
      </c>
      <c r="H297" t="s">
        <v>2436</v>
      </c>
      <c r="I297" s="12" t="s">
        <v>2437</v>
      </c>
      <c r="J297" s="12" t="s">
        <v>2438</v>
      </c>
      <c r="K297" t="s">
        <v>983</v>
      </c>
      <c r="L297" t="str">
        <f>_xlfn.CONCAT(Tbl_Employee_Details[[#This Row],[First Name]],".",Tbl_Employee_Details[[#This Row],[Last Name]],"@saregama.com")</f>
        <v>Drona.Victor@saregama.com</v>
      </c>
      <c r="M297" s="6">
        <f ca="1">(TODAY() - 'Employee Onboarding'!E297)/365.25</f>
        <v>31.739904175222449</v>
      </c>
      <c r="N297">
        <v>166142</v>
      </c>
      <c r="O297" s="13" t="s">
        <v>42</v>
      </c>
      <c r="P297" s="6">
        <f ca="1">YEARFRAC(Tbl_Employee_Details[[#This Row],[Date of Birth]],TODAY())</f>
        <v>33.161111111111111</v>
      </c>
      <c r="Q297" s="13" t="s">
        <v>948</v>
      </c>
      <c r="R297" s="2" t="s">
        <v>977</v>
      </c>
      <c r="S297" s="11" t="str">
        <f>IF(ISNA(VLOOKUP(A297,Tbl_Exit_Formalities[Employee ID],1,FALSE)), "No", "Yes")</f>
        <v>No</v>
      </c>
      <c r="T297" s="22">
        <f ca="1">Tbl_Employee_Details[[#This Row],[Experience in SAREGAMA]]/((SUMIFS(Tbl_Employee_Details[Experience in SAREGAMA],Tbl_Employee_Details[Department],Tbl_Employee_Details[[#This Row],[Department]])))</f>
        <v>8.1600619412965439E-2</v>
      </c>
    </row>
    <row r="298" spans="1:20" x14ac:dyDescent="0.3">
      <c r="A298" s="2">
        <v>107535</v>
      </c>
      <c r="B298" t="s">
        <v>907</v>
      </c>
      <c r="C298" t="s">
        <v>908</v>
      </c>
      <c r="D298" t="s">
        <v>933</v>
      </c>
      <c r="E298" s="3" t="s">
        <v>2439</v>
      </c>
      <c r="F298" s="4" t="s">
        <v>2440</v>
      </c>
      <c r="G298" t="s">
        <v>2531</v>
      </c>
      <c r="H298" t="s">
        <v>2441</v>
      </c>
      <c r="I298" s="12" t="s">
        <v>2442</v>
      </c>
      <c r="J298" s="12" t="s">
        <v>2443</v>
      </c>
      <c r="K298" t="s">
        <v>947</v>
      </c>
      <c r="L298" t="str">
        <f>_xlfn.CONCAT(Tbl_Employee_Details[[#This Row],[First Name]],".",Tbl_Employee_Details[[#This Row],[Last Name]],"@saregama.com")</f>
        <v>Tommie.Tschursch@saregama.com</v>
      </c>
      <c r="M298" s="6">
        <f ca="1">(TODAY() - 'Employee Onboarding'!E298)/365.25</f>
        <v>13.678302532511978</v>
      </c>
      <c r="N298">
        <v>764535</v>
      </c>
      <c r="O298" s="13" t="s">
        <v>63</v>
      </c>
      <c r="P298" s="6">
        <f ca="1">YEARFRAC(Tbl_Employee_Details[[#This Row],[Date of Birth]],TODAY())</f>
        <v>23.536111111111111</v>
      </c>
      <c r="Q298" s="13" t="s">
        <v>976</v>
      </c>
      <c r="R298" s="2" t="s">
        <v>941</v>
      </c>
      <c r="S298" s="11" t="str">
        <f>IF(ISNA(VLOOKUP(A298,Tbl_Exit_Formalities[Employee ID],1,FALSE)), "No", "Yes")</f>
        <v>No</v>
      </c>
      <c r="T298" s="22">
        <f ca="1">Tbl_Employee_Details[[#This Row],[Experience in SAREGAMA]]/((SUMIFS(Tbl_Employee_Details[Experience in SAREGAMA],Tbl_Employee_Details[Department],Tbl_Employee_Details[[#This Row],[Department]])))</f>
        <v>4.6715601477394925E-2</v>
      </c>
    </row>
    <row r="299" spans="1:20" x14ac:dyDescent="0.3">
      <c r="A299" s="2">
        <v>104978</v>
      </c>
      <c r="B299" t="s">
        <v>910</v>
      </c>
      <c r="C299" t="s">
        <v>911</v>
      </c>
      <c r="D299" t="s">
        <v>933</v>
      </c>
      <c r="E299" s="3" t="s">
        <v>2444</v>
      </c>
      <c r="F299" s="4" t="s">
        <v>2445</v>
      </c>
      <c r="G299" t="s">
        <v>2488</v>
      </c>
      <c r="H299" t="s">
        <v>2446</v>
      </c>
      <c r="I299" s="12" t="s">
        <v>2447</v>
      </c>
      <c r="J299" s="12" t="s">
        <v>2448</v>
      </c>
      <c r="K299" t="s">
        <v>983</v>
      </c>
      <c r="L299" t="str">
        <f>_xlfn.CONCAT(Tbl_Employee_Details[[#This Row],[First Name]],".",Tbl_Employee_Details[[#This Row],[Last Name]],"@saregama.com")</f>
        <v>Kristo.Elvidge@saregama.com</v>
      </c>
      <c r="M299" s="6">
        <f ca="1">(TODAY() - 'Employee Onboarding'!E299)/365.25</f>
        <v>23.6249144421629</v>
      </c>
      <c r="N299">
        <v>115439</v>
      </c>
      <c r="O299" s="13" t="s">
        <v>13</v>
      </c>
      <c r="P299" s="6">
        <f ca="1">YEARFRAC(Tbl_Employee_Details[[#This Row],[Date of Birth]],TODAY())</f>
        <v>38.299999999999997</v>
      </c>
      <c r="Q299" s="13" t="s">
        <v>948</v>
      </c>
      <c r="R299" s="2" t="s">
        <v>1002</v>
      </c>
      <c r="S299" s="11" t="str">
        <f>IF(ISNA(VLOOKUP(A299,Tbl_Exit_Formalities[Employee ID],1,FALSE)), "No", "Yes")</f>
        <v>Yes</v>
      </c>
      <c r="T299" s="22">
        <f ca="1">Tbl_Employee_Details[[#This Row],[Experience in SAREGAMA]]/((SUMIFS(Tbl_Employee_Details[Experience in SAREGAMA],Tbl_Employee_Details[Department],Tbl_Employee_Details[[#This Row],[Department]])))</f>
        <v>6.0737664531568945E-2</v>
      </c>
    </row>
    <row r="300" spans="1:20" x14ac:dyDescent="0.3">
      <c r="A300" s="2">
        <v>102362</v>
      </c>
      <c r="B300" t="s">
        <v>913</v>
      </c>
      <c r="C300" t="s">
        <v>914</v>
      </c>
      <c r="D300" t="s">
        <v>933</v>
      </c>
      <c r="E300" s="3" t="s">
        <v>2449</v>
      </c>
      <c r="F300" s="4" t="s">
        <v>2450</v>
      </c>
      <c r="G300" t="s">
        <v>2488</v>
      </c>
      <c r="H300" t="s">
        <v>2451</v>
      </c>
      <c r="I300" s="12" t="s">
        <v>2452</v>
      </c>
      <c r="J300" s="12" t="s">
        <v>2453</v>
      </c>
      <c r="K300" t="s">
        <v>947</v>
      </c>
      <c r="L300" t="str">
        <f>_xlfn.CONCAT(Tbl_Employee_Details[[#This Row],[First Name]],".",Tbl_Employee_Details[[#This Row],[Last Name]],"@saregama.com")</f>
        <v>Herold.Dawdary@saregama.com</v>
      </c>
      <c r="M300" s="6">
        <f ca="1">(TODAY() - 'Employee Onboarding'!E300)/365.25</f>
        <v>26.33264887063655</v>
      </c>
      <c r="N300">
        <v>593637</v>
      </c>
      <c r="O300" s="13" t="s">
        <v>63</v>
      </c>
      <c r="P300" s="6">
        <f ca="1">YEARFRAC(Tbl_Employee_Details[[#This Row],[Date of Birth]],TODAY())</f>
        <v>33.155555555555559</v>
      </c>
      <c r="Q300" s="13" t="s">
        <v>976</v>
      </c>
      <c r="R300" s="2" t="s">
        <v>977</v>
      </c>
      <c r="S300" s="11" t="str">
        <f>IF(ISNA(VLOOKUP(A300,Tbl_Exit_Formalities[Employee ID],1,FALSE)), "No", "Yes")</f>
        <v>No</v>
      </c>
      <c r="T300" s="22">
        <f ca="1">Tbl_Employee_Details[[#This Row],[Experience in SAREGAMA]]/((SUMIFS(Tbl_Employee_Details[Experience in SAREGAMA],Tbl_Employee_Details[Department],Tbl_Employee_Details[[#This Row],[Department]])))</f>
        <v>8.9934078264528497E-2</v>
      </c>
    </row>
    <row r="301" spans="1:20" x14ac:dyDescent="0.3">
      <c r="A301" s="2">
        <v>107200</v>
      </c>
      <c r="B301" t="s">
        <v>916</v>
      </c>
      <c r="C301" t="s">
        <v>917</v>
      </c>
      <c r="D301" t="s">
        <v>933</v>
      </c>
      <c r="E301" s="3" t="s">
        <v>1167</v>
      </c>
      <c r="F301" s="4" t="s">
        <v>2454</v>
      </c>
      <c r="G301" t="s">
        <v>2486</v>
      </c>
      <c r="H301" t="s">
        <v>2455</v>
      </c>
      <c r="I301" s="12" t="s">
        <v>2456</v>
      </c>
      <c r="J301" s="12" t="s">
        <v>2457</v>
      </c>
      <c r="K301" t="s">
        <v>989</v>
      </c>
      <c r="L301" t="str">
        <f>_xlfn.CONCAT(Tbl_Employee_Details[[#This Row],[First Name]],".",Tbl_Employee_Details[[#This Row],[Last Name]],"@saregama.com")</f>
        <v>Leo.Brookwell@saregama.com</v>
      </c>
      <c r="M301" s="6">
        <f ca="1">(TODAY() - 'Employee Onboarding'!E301)/365.25</f>
        <v>12.369609856262834</v>
      </c>
      <c r="N301">
        <v>180471</v>
      </c>
      <c r="O301" s="15" t="s">
        <v>13</v>
      </c>
      <c r="P301" s="6">
        <f ca="1">YEARFRAC(Tbl_Employee_Details[[#This Row],[Date of Birth]],TODAY())</f>
        <v>28.758333333333333</v>
      </c>
      <c r="Q301" s="15" t="s">
        <v>948</v>
      </c>
      <c r="R301" s="2" t="s">
        <v>958</v>
      </c>
      <c r="S301" s="11" t="str">
        <f>IF(ISNA(VLOOKUP(A301,Tbl_Exit_Formalities[Employee ID],1,FALSE)), "No", "Yes")</f>
        <v>Yes</v>
      </c>
      <c r="T301" s="22">
        <f ca="1">Tbl_Employee_Details[[#This Row],[Experience in SAREGAMA]]/((SUMIFS(Tbl_Employee_Details[Experience in SAREGAMA],Tbl_Employee_Details[Department],Tbl_Employee_Details[[#This Row],[Department]])))</f>
        <v>3.1801224748363485E-2</v>
      </c>
    </row>
  </sheetData>
  <conditionalFormatting sqref="A2:A301">
    <cfRule type="duplicateValues" dxfId="31" priority="1"/>
    <cfRule type="duplicateValues" dxfId="30" priority="2"/>
    <cfRule type="duplicateValues" dxfId="29" priority="3"/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1717D84-3F3A-49AD-A3D6-90FB9BE0C8FE}">
          <x14:formula1>
            <xm:f>Lists!$E$2:$E$3</xm:f>
          </x14:formula1>
          <xm:sqref>S1:S1048576</xm:sqref>
        </x14:dataValidation>
        <x14:dataValidation type="list" allowBlank="1" showInputMessage="1" showErrorMessage="1" xr:uid="{D4CD0167-E866-49DA-B369-5274F20C27CB}">
          <x14:formula1>
            <xm:f>Lists!$H$2:$H$9</xm:f>
          </x14:formula1>
          <xm:sqref>K1:K1048576</xm:sqref>
        </x14:dataValidation>
        <x14:dataValidation type="list" allowBlank="1" showInputMessage="1" showErrorMessage="1" xr:uid="{184D66FD-7131-49F6-9E1C-2BEE25183DBF}">
          <x14:formula1>
            <xm:f>Lists!$C$2:$C$9</xm:f>
          </x14:formula1>
          <xm:sqref>R1:R1048576</xm:sqref>
        </x14:dataValidation>
        <x14:dataValidation type="list" allowBlank="1" showInputMessage="1" showErrorMessage="1" xr:uid="{9A49CD71-5B45-416F-B021-B0E3458904F5}">
          <x14:formula1>
            <xm:f>Lists!$G$2:$G$12</xm:f>
          </x14:formula1>
          <xm:sqref>Q1:Q1048576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0DB03-DBB4-49DB-BF85-E62340B9C0C6}">
  <sheetPr codeName="Sheet3"/>
  <dimension ref="A1:G31"/>
  <sheetViews>
    <sheetView workbookViewId="0">
      <pane ySplit="1" topLeftCell="A7" activePane="bottomLeft" state="frozen"/>
      <selection pane="bottomLeft" activeCell="F7" sqref="F7:F15"/>
    </sheetView>
  </sheetViews>
  <sheetFormatPr defaultRowHeight="14.55" x14ac:dyDescent="0.3"/>
  <cols>
    <col min="1" max="1" width="14" customWidth="1"/>
    <col min="2" max="2" width="18.88671875" style="5" customWidth="1"/>
    <col min="3" max="3" width="19.88671875" customWidth="1"/>
    <col min="4" max="4" width="17.33203125" style="5" customWidth="1"/>
    <col min="5" max="6" width="24.6640625" customWidth="1"/>
    <col min="7" max="7" width="29.33203125" bestFit="1" customWidth="1"/>
  </cols>
  <sheetData>
    <row r="1" spans="1:7" x14ac:dyDescent="0.3">
      <c r="A1" t="s">
        <v>0</v>
      </c>
      <c r="B1" s="5" t="s">
        <v>2458</v>
      </c>
      <c r="C1" t="s">
        <v>2459</v>
      </c>
      <c r="D1" s="5" t="s">
        <v>2460</v>
      </c>
      <c r="E1" t="s">
        <v>2461</v>
      </c>
      <c r="F1" t="s">
        <v>2462</v>
      </c>
      <c r="G1" t="s">
        <v>2463</v>
      </c>
    </row>
    <row r="2" spans="1:7" x14ac:dyDescent="0.3">
      <c r="A2" s="9">
        <v>106751</v>
      </c>
      <c r="B2" s="5" t="s">
        <v>17</v>
      </c>
      <c r="C2" t="s">
        <v>2464</v>
      </c>
      <c r="D2" s="5" t="s">
        <v>17</v>
      </c>
      <c r="E2" t="s">
        <v>2465</v>
      </c>
      <c r="F2" t="s">
        <v>17</v>
      </c>
      <c r="G2" t="s">
        <v>17</v>
      </c>
    </row>
    <row r="3" spans="1:7" x14ac:dyDescent="0.3">
      <c r="A3" s="9">
        <v>102281</v>
      </c>
      <c r="B3" s="5">
        <v>44067</v>
      </c>
      <c r="C3" t="s">
        <v>2466</v>
      </c>
      <c r="D3" s="5">
        <f>EDATE(Tbl_Exit_Formalities[[#This Row],[Date of Resignation]],2)</f>
        <v>44128</v>
      </c>
      <c r="E3" t="s">
        <v>2467</v>
      </c>
      <c r="F3" t="s">
        <v>2464</v>
      </c>
      <c r="G3" t="s">
        <v>2466</v>
      </c>
    </row>
    <row r="4" spans="1:7" x14ac:dyDescent="0.3">
      <c r="A4" s="9">
        <v>105076</v>
      </c>
      <c r="B4" s="5">
        <v>42573</v>
      </c>
      <c r="C4" t="s">
        <v>2466</v>
      </c>
      <c r="D4" s="5">
        <f>EDATE(Tbl_Exit_Formalities[[#This Row],[Date of Resignation]],2)</f>
        <v>42635</v>
      </c>
      <c r="E4" t="s">
        <v>2467</v>
      </c>
      <c r="F4" t="s">
        <v>2466</v>
      </c>
      <c r="G4" t="s">
        <v>2464</v>
      </c>
    </row>
    <row r="5" spans="1:7" x14ac:dyDescent="0.3">
      <c r="A5" s="9">
        <v>107385</v>
      </c>
      <c r="B5" s="5">
        <v>43740</v>
      </c>
      <c r="C5" t="s">
        <v>2466</v>
      </c>
      <c r="D5" s="5">
        <f>EDATE(Tbl_Exit_Formalities[[#This Row],[Date of Resignation]],2)</f>
        <v>43801</v>
      </c>
      <c r="E5" t="s">
        <v>2467</v>
      </c>
      <c r="F5" t="s">
        <v>2466</v>
      </c>
      <c r="G5" t="s">
        <v>2466</v>
      </c>
    </row>
    <row r="6" spans="1:7" x14ac:dyDescent="0.3">
      <c r="A6" s="9">
        <v>104411</v>
      </c>
      <c r="B6" s="5">
        <v>37636</v>
      </c>
      <c r="C6" t="s">
        <v>2468</v>
      </c>
      <c r="D6" s="5">
        <v>37651</v>
      </c>
      <c r="E6" t="s">
        <v>2467</v>
      </c>
      <c r="F6" t="s">
        <v>2466</v>
      </c>
      <c r="G6" t="s">
        <v>2466</v>
      </c>
    </row>
    <row r="7" spans="1:7" x14ac:dyDescent="0.3">
      <c r="A7" s="9">
        <v>104974</v>
      </c>
      <c r="B7" s="5">
        <v>42398</v>
      </c>
      <c r="C7" t="s">
        <v>2466</v>
      </c>
      <c r="D7" s="5">
        <f>EDATE(Tbl_Exit_Formalities[[#This Row],[Date of Resignation]],2)</f>
        <v>42458</v>
      </c>
      <c r="E7" t="s">
        <v>2469</v>
      </c>
      <c r="F7" t="s">
        <v>2464</v>
      </c>
      <c r="G7" t="s">
        <v>2464</v>
      </c>
    </row>
    <row r="8" spans="1:7" x14ac:dyDescent="0.3">
      <c r="A8" s="9">
        <v>105861</v>
      </c>
      <c r="B8" s="5">
        <v>39589</v>
      </c>
      <c r="C8" t="s">
        <v>2466</v>
      </c>
      <c r="D8" s="5">
        <f>EDATE(Tbl_Exit_Formalities[[#This Row],[Date of Resignation]],2)</f>
        <v>39650</v>
      </c>
      <c r="E8" t="s">
        <v>2467</v>
      </c>
      <c r="F8" t="s">
        <v>2464</v>
      </c>
      <c r="G8" t="s">
        <v>2466</v>
      </c>
    </row>
    <row r="9" spans="1:7" x14ac:dyDescent="0.3">
      <c r="A9" s="9">
        <v>105204</v>
      </c>
      <c r="B9" s="5">
        <v>42475</v>
      </c>
      <c r="C9" t="s">
        <v>2468</v>
      </c>
      <c r="D9" s="5">
        <v>42485</v>
      </c>
      <c r="E9" t="s">
        <v>2470</v>
      </c>
      <c r="F9" t="s">
        <v>2466</v>
      </c>
      <c r="G9" t="s">
        <v>2464</v>
      </c>
    </row>
    <row r="10" spans="1:7" x14ac:dyDescent="0.3">
      <c r="A10" s="9">
        <v>104240</v>
      </c>
      <c r="B10" s="5" t="s">
        <v>17</v>
      </c>
      <c r="C10" t="s">
        <v>2464</v>
      </c>
      <c r="D10" s="5" t="s">
        <v>17</v>
      </c>
      <c r="E10" t="s">
        <v>2465</v>
      </c>
      <c r="F10" t="s">
        <v>17</v>
      </c>
      <c r="G10" t="s">
        <v>17</v>
      </c>
    </row>
    <row r="11" spans="1:7" x14ac:dyDescent="0.3">
      <c r="A11" s="9">
        <v>103636</v>
      </c>
      <c r="B11" s="5">
        <v>40504</v>
      </c>
      <c r="C11" t="s">
        <v>2464</v>
      </c>
      <c r="D11" s="5">
        <v>40504</v>
      </c>
      <c r="E11" t="s">
        <v>2471</v>
      </c>
      <c r="F11" t="s">
        <v>2464</v>
      </c>
      <c r="G11" t="s">
        <v>2466</v>
      </c>
    </row>
    <row r="12" spans="1:7" x14ac:dyDescent="0.3">
      <c r="A12" s="9">
        <v>107666</v>
      </c>
      <c r="B12" s="5">
        <v>43065</v>
      </c>
      <c r="C12" t="s">
        <v>2466</v>
      </c>
      <c r="D12" s="5">
        <f>EDATE(Tbl_Exit_Formalities[[#This Row],[Date of Resignation]],2)</f>
        <v>43126</v>
      </c>
      <c r="E12" t="s">
        <v>2469</v>
      </c>
      <c r="F12" t="s">
        <v>2466</v>
      </c>
      <c r="G12" t="s">
        <v>2466</v>
      </c>
    </row>
    <row r="13" spans="1:7" x14ac:dyDescent="0.3">
      <c r="A13" s="9">
        <v>105783</v>
      </c>
      <c r="B13" s="5">
        <v>43831</v>
      </c>
      <c r="C13" t="s">
        <v>2466</v>
      </c>
      <c r="D13" s="5">
        <f>EDATE(Tbl_Exit_Formalities[[#This Row],[Date of Resignation]],2)</f>
        <v>43891</v>
      </c>
      <c r="E13" t="s">
        <v>2469</v>
      </c>
      <c r="F13" t="s">
        <v>2464</v>
      </c>
      <c r="G13" t="s">
        <v>2466</v>
      </c>
    </row>
    <row r="14" spans="1:7" x14ac:dyDescent="0.3">
      <c r="A14" s="9">
        <v>103893</v>
      </c>
      <c r="B14" s="5">
        <v>41553</v>
      </c>
      <c r="C14" t="s">
        <v>2466</v>
      </c>
      <c r="D14" s="5">
        <f>EDATE(Tbl_Exit_Formalities[[#This Row],[Date of Resignation]],2)</f>
        <v>41614</v>
      </c>
      <c r="E14" t="s">
        <v>2467</v>
      </c>
      <c r="F14" t="s">
        <v>2466</v>
      </c>
      <c r="G14" t="s">
        <v>2466</v>
      </c>
    </row>
    <row r="15" spans="1:7" x14ac:dyDescent="0.3">
      <c r="A15" s="9">
        <v>103437</v>
      </c>
      <c r="B15" s="5">
        <v>43905</v>
      </c>
      <c r="C15" t="s">
        <v>2468</v>
      </c>
      <c r="D15" s="5">
        <v>43911</v>
      </c>
      <c r="E15" t="s">
        <v>2469</v>
      </c>
      <c r="F15" t="s">
        <v>2464</v>
      </c>
      <c r="G15" t="s">
        <v>2464</v>
      </c>
    </row>
    <row r="16" spans="1:7" x14ac:dyDescent="0.3">
      <c r="A16" s="9">
        <v>105514</v>
      </c>
      <c r="B16" s="5" t="s">
        <v>17</v>
      </c>
      <c r="C16" t="s">
        <v>2464</v>
      </c>
      <c r="D16" t="s">
        <v>17</v>
      </c>
      <c r="E16" t="s">
        <v>2465</v>
      </c>
      <c r="F16" t="s">
        <v>17</v>
      </c>
      <c r="G16" t="s">
        <v>17</v>
      </c>
    </row>
    <row r="17" spans="1:7" x14ac:dyDescent="0.3">
      <c r="A17" s="9">
        <v>107716</v>
      </c>
      <c r="B17" s="5">
        <v>38980</v>
      </c>
      <c r="C17" t="s">
        <v>2466</v>
      </c>
      <c r="D17" s="5">
        <f>EDATE(Tbl_Exit_Formalities[[#This Row],[Date of Resignation]],2)</f>
        <v>39041</v>
      </c>
      <c r="E17" t="s">
        <v>2470</v>
      </c>
      <c r="F17" t="s">
        <v>2466</v>
      </c>
      <c r="G17" t="s">
        <v>2466</v>
      </c>
    </row>
    <row r="18" spans="1:7" x14ac:dyDescent="0.3">
      <c r="A18" s="9">
        <v>105840</v>
      </c>
      <c r="B18" s="5">
        <v>39928</v>
      </c>
      <c r="C18" t="s">
        <v>2468</v>
      </c>
      <c r="D18" s="5">
        <v>39941</v>
      </c>
      <c r="E18" t="s">
        <v>2470</v>
      </c>
      <c r="F18" t="s">
        <v>2466</v>
      </c>
      <c r="G18" t="s">
        <v>2466</v>
      </c>
    </row>
    <row r="19" spans="1:7" x14ac:dyDescent="0.3">
      <c r="A19" s="9">
        <v>107927</v>
      </c>
      <c r="B19" s="5">
        <v>43184</v>
      </c>
      <c r="C19" t="s">
        <v>2466</v>
      </c>
      <c r="D19" s="5">
        <f>EDATE(Tbl_Exit_Formalities[[#This Row],[Date of Resignation]],2)</f>
        <v>43245</v>
      </c>
      <c r="E19" t="s">
        <v>2467</v>
      </c>
      <c r="F19" t="s">
        <v>2466</v>
      </c>
      <c r="G19" t="s">
        <v>2464</v>
      </c>
    </row>
    <row r="20" spans="1:7" x14ac:dyDescent="0.3">
      <c r="A20" s="9">
        <v>107791</v>
      </c>
      <c r="B20" s="5">
        <v>43822</v>
      </c>
      <c r="C20" t="s">
        <v>2464</v>
      </c>
      <c r="D20" s="5">
        <v>43822</v>
      </c>
      <c r="E20" t="s">
        <v>2471</v>
      </c>
      <c r="F20" t="s">
        <v>2464</v>
      </c>
      <c r="G20" t="s">
        <v>2466</v>
      </c>
    </row>
    <row r="21" spans="1:7" x14ac:dyDescent="0.3">
      <c r="A21" s="9">
        <v>103841</v>
      </c>
      <c r="B21" s="5">
        <v>42929</v>
      </c>
      <c r="C21" t="s">
        <v>2466</v>
      </c>
      <c r="D21" s="5">
        <f>EDATE(Tbl_Exit_Formalities[[#This Row],[Date of Resignation]],2)</f>
        <v>42991</v>
      </c>
      <c r="E21" t="s">
        <v>2470</v>
      </c>
      <c r="F21" t="s">
        <v>2464</v>
      </c>
      <c r="G21" t="s">
        <v>2466</v>
      </c>
    </row>
    <row r="22" spans="1:7" x14ac:dyDescent="0.3">
      <c r="A22" s="9">
        <v>102355</v>
      </c>
      <c r="B22" s="5">
        <v>39305</v>
      </c>
      <c r="C22" t="s">
        <v>2466</v>
      </c>
      <c r="D22" s="5">
        <f>EDATE(Tbl_Exit_Formalities[[#This Row],[Date of Resignation]],2)</f>
        <v>39366</v>
      </c>
      <c r="E22" t="s">
        <v>2469</v>
      </c>
      <c r="F22" t="s">
        <v>2466</v>
      </c>
      <c r="G22" t="s">
        <v>2466</v>
      </c>
    </row>
    <row r="23" spans="1:7" x14ac:dyDescent="0.3">
      <c r="A23" s="9">
        <v>103076</v>
      </c>
      <c r="B23" s="5">
        <v>41045</v>
      </c>
      <c r="C23" t="s">
        <v>2466</v>
      </c>
      <c r="D23" s="5">
        <f>EDATE(Tbl_Exit_Formalities[[#This Row],[Date of Resignation]],2)</f>
        <v>41106</v>
      </c>
      <c r="E23" t="s">
        <v>2469</v>
      </c>
      <c r="F23" t="s">
        <v>2464</v>
      </c>
      <c r="G23" t="s">
        <v>2466</v>
      </c>
    </row>
    <row r="24" spans="1:7" x14ac:dyDescent="0.3">
      <c r="A24" s="9">
        <v>106561</v>
      </c>
      <c r="B24" s="5">
        <v>43123</v>
      </c>
      <c r="C24" t="s">
        <v>2466</v>
      </c>
      <c r="D24" s="5">
        <f>EDATE(Tbl_Exit_Formalities[[#This Row],[Date of Resignation]],2)</f>
        <v>43182</v>
      </c>
      <c r="E24" t="s">
        <v>2467</v>
      </c>
      <c r="F24" t="s">
        <v>2464</v>
      </c>
      <c r="G24" t="s">
        <v>2466</v>
      </c>
    </row>
    <row r="25" spans="1:7" x14ac:dyDescent="0.3">
      <c r="A25" s="9">
        <v>107984</v>
      </c>
      <c r="B25" s="5">
        <v>43134</v>
      </c>
      <c r="C25" t="s">
        <v>2466</v>
      </c>
      <c r="D25" s="5">
        <f>EDATE(Tbl_Exit_Formalities[[#This Row],[Date of Resignation]],2)</f>
        <v>43193</v>
      </c>
      <c r="E25" t="s">
        <v>2469</v>
      </c>
      <c r="F25" t="s">
        <v>2466</v>
      </c>
      <c r="G25" t="s">
        <v>2466</v>
      </c>
    </row>
    <row r="26" spans="1:7" x14ac:dyDescent="0.3">
      <c r="A26" s="9">
        <v>107116</v>
      </c>
      <c r="B26" s="5">
        <v>43351</v>
      </c>
      <c r="C26" t="s">
        <v>2466</v>
      </c>
      <c r="D26" s="5">
        <f>EDATE(Tbl_Exit_Formalities[[#This Row],[Date of Resignation]],2)</f>
        <v>43412</v>
      </c>
      <c r="E26" t="s">
        <v>2469</v>
      </c>
      <c r="F26" t="s">
        <v>2464</v>
      </c>
      <c r="G26" t="s">
        <v>2464</v>
      </c>
    </row>
    <row r="27" spans="1:7" x14ac:dyDescent="0.3">
      <c r="A27" s="9">
        <v>107200</v>
      </c>
      <c r="B27" s="5">
        <v>43060</v>
      </c>
      <c r="C27" t="s">
        <v>2468</v>
      </c>
      <c r="D27" s="5">
        <v>43061</v>
      </c>
      <c r="E27" t="s">
        <v>2470</v>
      </c>
      <c r="F27" t="s">
        <v>2464</v>
      </c>
      <c r="G27" t="s">
        <v>2464</v>
      </c>
    </row>
    <row r="28" spans="1:7" x14ac:dyDescent="0.3">
      <c r="A28" s="9">
        <v>104978</v>
      </c>
      <c r="B28" s="5">
        <v>42725</v>
      </c>
      <c r="C28" t="s">
        <v>2466</v>
      </c>
      <c r="D28" s="5">
        <f>EDATE(Tbl_Exit_Formalities[[#This Row],[Date of Resignation]],2)</f>
        <v>42787</v>
      </c>
      <c r="E28" t="s">
        <v>2467</v>
      </c>
      <c r="F28" t="s">
        <v>2466</v>
      </c>
      <c r="G28" t="s">
        <v>2466</v>
      </c>
    </row>
    <row r="29" spans="1:7" x14ac:dyDescent="0.3">
      <c r="A29" s="9">
        <v>106345</v>
      </c>
      <c r="B29" s="5">
        <v>42946</v>
      </c>
      <c r="C29" t="s">
        <v>2466</v>
      </c>
      <c r="D29" s="5">
        <f>EDATE(Tbl_Exit_Formalities[[#This Row],[Date of Resignation]],2)</f>
        <v>43008</v>
      </c>
      <c r="E29" t="s">
        <v>2470</v>
      </c>
      <c r="F29" t="s">
        <v>2464</v>
      </c>
      <c r="G29" t="s">
        <v>2466</v>
      </c>
    </row>
    <row r="30" spans="1:7" x14ac:dyDescent="0.3">
      <c r="A30" s="9">
        <v>102205</v>
      </c>
      <c r="B30" s="5">
        <v>43821</v>
      </c>
      <c r="C30" t="s">
        <v>2466</v>
      </c>
      <c r="D30" s="5">
        <f>EDATE(Tbl_Exit_Formalities[[#This Row],[Date of Resignation]],2)</f>
        <v>43883</v>
      </c>
      <c r="E30" t="s">
        <v>2469</v>
      </c>
      <c r="F30" t="s">
        <v>2464</v>
      </c>
      <c r="G30" t="s">
        <v>2466</v>
      </c>
    </row>
    <row r="31" spans="1:7" x14ac:dyDescent="0.3">
      <c r="A31" s="9">
        <v>106094</v>
      </c>
      <c r="B31" s="5">
        <v>43943</v>
      </c>
      <c r="C31" t="s">
        <v>2466</v>
      </c>
      <c r="D31" s="5">
        <f>EDATE(Tbl_Exit_Formalities[[#This Row],[Date of Resignation]],2)</f>
        <v>44004</v>
      </c>
      <c r="E31" t="s">
        <v>2470</v>
      </c>
      <c r="F31" t="s">
        <v>2466</v>
      </c>
      <c r="G31" t="s">
        <v>2466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A81F33-E875-4469-BA7A-00881AA7E40F}">
          <x14:formula1>
            <xm:f>Lists!$E$2:$E$4</xm:f>
          </x14:formula1>
          <xm:sqref>F2:F31 G2:G31</xm:sqref>
        </x14:dataValidation>
        <x14:dataValidation type="list" allowBlank="1" showInputMessage="1" showErrorMessage="1" xr:uid="{D55A6E3D-C439-4F26-B949-E80463988D60}">
          <x14:formula1>
            <xm:f>Lists!$D$2:$D$5</xm:f>
          </x14:formula1>
          <xm:sqref>E2:E31</xm:sqref>
        </x14:dataValidation>
        <x14:dataValidation type="list" allowBlank="1" showInputMessage="1" showErrorMessage="1" xr:uid="{E3B77A6B-6409-4778-A11C-68C35FFFE300}">
          <x14:formula1>
            <xm:f>Lists!$I$2:$I$4</xm:f>
          </x14:formula1>
          <xm:sqref>C2:C31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F460C-DAF5-4040-9413-B78D0A27E340}">
  <sheetPr codeName="Sheet4"/>
  <dimension ref="A1:G301"/>
  <sheetViews>
    <sheetView tabSelected="1" workbookViewId="0">
      <selection activeCell="G4" sqref="G4"/>
    </sheetView>
  </sheetViews>
  <sheetFormatPr defaultRowHeight="14.55" x14ac:dyDescent="0.3"/>
  <cols>
    <col min="1" max="1" width="13.44140625" customWidth="1"/>
    <col min="2" max="2" width="13.6640625" customWidth="1"/>
    <col min="3" max="3" width="28" bestFit="1" customWidth="1"/>
    <col min="4" max="4" width="15.6640625" bestFit="1" customWidth="1"/>
    <col min="5" max="5" width="10.6640625" customWidth="1"/>
    <col min="6" max="6" width="15.33203125" customWidth="1"/>
    <col min="7" max="7" width="22.109375" customWidth="1"/>
    <col min="8" max="8" width="13.6640625" customWidth="1"/>
  </cols>
  <sheetData>
    <row r="1" spans="1:7" x14ac:dyDescent="0.3">
      <c r="A1" t="s">
        <v>0</v>
      </c>
      <c r="B1" t="s">
        <v>919</v>
      </c>
      <c r="C1" t="s">
        <v>2472</v>
      </c>
      <c r="D1" t="s">
        <v>930</v>
      </c>
      <c r="E1" t="s">
        <v>929</v>
      </c>
      <c r="F1" t="s">
        <v>931</v>
      </c>
      <c r="G1" t="s">
        <v>7</v>
      </c>
    </row>
    <row r="2" spans="1:7" x14ac:dyDescent="0.3">
      <c r="A2" s="17">
        <v>107639</v>
      </c>
      <c r="B2" t="str">
        <f>VLOOKUP(Table4[[#This Row],[Employee ID]],Tbl_Employee_Details[],4,0)</f>
        <v>Male</v>
      </c>
      <c r="C2" t="str">
        <f>VLOOKUP(Table4[[#This Row],[Employee ID]],Tbl_Employee_Details[],7,)</f>
        <v>China</v>
      </c>
      <c r="D2" t="str">
        <f>VLOOKUP(Table4[[#This Row],[Employee ID]],Tbl_Employee_Details[],17,FALSE)</f>
        <v>Finance</v>
      </c>
      <c r="E2" s="6">
        <f ca="1">VLOOKUP(Table4[[#This Row],[Employee ID]],Tbl_Employee_Details[],16,FALSE)</f>
        <v>44.68611111111111</v>
      </c>
      <c r="F2" t="str">
        <f>VLOOKUP(Table4[[#This Row],[Employee ID]],Tbl_Employee_Details[],18,FALSE)</f>
        <v>New York</v>
      </c>
      <c r="G2" t="str">
        <f>VLOOKUP(Table4[[#This Row],[Employee ID]],Tbl_Emp_Onboarding[],8,FALSE)</f>
        <v>Student</v>
      </c>
    </row>
    <row r="3" spans="1:7" x14ac:dyDescent="0.3">
      <c r="A3" s="17">
        <v>108675</v>
      </c>
      <c r="B3" t="str">
        <f>VLOOKUP(Table4[[#This Row],[Employee ID]],Tbl_Employee_Details[],4,0)</f>
        <v>Male</v>
      </c>
      <c r="C3" t="str">
        <f>VLOOKUP(Table4[[#This Row],[Employee ID]],Tbl_Employee_Details[],7,)</f>
        <v>Vanuatu</v>
      </c>
      <c r="D3" t="str">
        <f>VLOOKUP(Table4[[#This Row],[Employee ID]],Tbl_Employee_Details[],17,FALSE)</f>
        <v>Customer Service</v>
      </c>
      <c r="E3" s="6">
        <f ca="1">VLOOKUP(Table4[[#This Row],[Employee ID]],Tbl_Employee_Details[],16,FALSE)</f>
        <v>18.386111111111113</v>
      </c>
      <c r="F3" t="str">
        <f>VLOOKUP(Table4[[#This Row],[Employee ID]],Tbl_Employee_Details[],18,FALSE)</f>
        <v>Bangalore</v>
      </c>
      <c r="G3" t="str">
        <f>VLOOKUP(Table4[[#This Row],[Employee ID]],Tbl_Emp_Onboarding[],8,FALSE)</f>
        <v>NA</v>
      </c>
    </row>
    <row r="4" spans="1:7" x14ac:dyDescent="0.3">
      <c r="A4" s="17">
        <v>103679</v>
      </c>
      <c r="B4" t="str">
        <f>VLOOKUP(Table4[[#This Row],[Employee ID]],Tbl_Employee_Details[],4,0)</f>
        <v>Female</v>
      </c>
      <c r="C4" t="str">
        <f>VLOOKUP(Table4[[#This Row],[Employee ID]],Tbl_Employee_Details[],7,)</f>
        <v>Brazil</v>
      </c>
      <c r="D4" t="str">
        <f>VLOOKUP(Table4[[#This Row],[Employee ID]],Tbl_Employee_Details[],17,FALSE)</f>
        <v>Marketing</v>
      </c>
      <c r="E4" s="6">
        <f ca="1">VLOOKUP(Table4[[#This Row],[Employee ID]],Tbl_Employee_Details[],16,FALSE)</f>
        <v>24.194444444444443</v>
      </c>
      <c r="F4" t="str">
        <f>VLOOKUP(Table4[[#This Row],[Employee ID]],Tbl_Employee_Details[],18,FALSE)</f>
        <v>Mumbai</v>
      </c>
      <c r="G4" t="str">
        <f>VLOOKUP(Table4[[#This Row],[Employee ID]],Tbl_Emp_Onboarding[],8,FALSE)</f>
        <v>Graduation/Bachelors</v>
      </c>
    </row>
    <row r="5" spans="1:7" x14ac:dyDescent="0.3">
      <c r="A5" s="17">
        <v>104511</v>
      </c>
      <c r="B5" t="str">
        <f>VLOOKUP(Table4[[#This Row],[Employee ID]],Tbl_Employee_Details[],4,0)</f>
        <v>Male</v>
      </c>
      <c r="C5" t="str">
        <f>VLOOKUP(Table4[[#This Row],[Employee ID]],Tbl_Employee_Details[],7,)</f>
        <v>Tunisia</v>
      </c>
      <c r="D5" t="str">
        <f>VLOOKUP(Table4[[#This Row],[Employee ID]],Tbl_Employee_Details[],17,FALSE)</f>
        <v>HR</v>
      </c>
      <c r="E5" s="6">
        <f ca="1">VLOOKUP(Table4[[#This Row],[Employee ID]],Tbl_Employee_Details[],16,FALSE)</f>
        <v>24.558333333333334</v>
      </c>
      <c r="F5" t="str">
        <f>VLOOKUP(Table4[[#This Row],[Employee ID]],Tbl_Employee_Details[],18,FALSE)</f>
        <v>Paris</v>
      </c>
      <c r="G5" t="str">
        <f>VLOOKUP(Table4[[#This Row],[Employee ID]],Tbl_Emp_Onboarding[],8,FALSE)</f>
        <v>Graduation/Bachelors</v>
      </c>
    </row>
    <row r="6" spans="1:7" x14ac:dyDescent="0.3">
      <c r="A6" s="17">
        <v>105511</v>
      </c>
      <c r="B6" t="str">
        <f>VLOOKUP(Table4[[#This Row],[Employee ID]],Tbl_Employee_Details[],4,0)</f>
        <v>Female</v>
      </c>
      <c r="C6" t="str">
        <f>VLOOKUP(Table4[[#This Row],[Employee ID]],Tbl_Employee_Details[],7,)</f>
        <v>Indonesia</v>
      </c>
      <c r="D6" t="str">
        <f>VLOOKUP(Table4[[#This Row],[Employee ID]],Tbl_Employee_Details[],17,FALSE)</f>
        <v>Marketing</v>
      </c>
      <c r="E6" s="6">
        <f ca="1">VLOOKUP(Table4[[#This Row],[Employee ID]],Tbl_Employee_Details[],16,FALSE)</f>
        <v>40.700000000000003</v>
      </c>
      <c r="F6" t="str">
        <f>VLOOKUP(Table4[[#This Row],[Employee ID]],Tbl_Employee_Details[],18,FALSE)</f>
        <v>Paris</v>
      </c>
      <c r="G6" t="str">
        <f>VLOOKUP(Table4[[#This Row],[Employee ID]],Tbl_Emp_Onboarding[],8,FALSE)</f>
        <v>Graduation/Bachelors</v>
      </c>
    </row>
    <row r="7" spans="1:7" x14ac:dyDescent="0.3">
      <c r="A7" s="17">
        <v>103147</v>
      </c>
      <c r="B7" t="str">
        <f>VLOOKUP(Table4[[#This Row],[Employee ID]],Tbl_Employee_Details[],4,0)</f>
        <v>Female</v>
      </c>
      <c r="C7" t="str">
        <f>VLOOKUP(Table4[[#This Row],[Employee ID]],Tbl_Employee_Details[],7,)</f>
        <v>Dominican Republic</v>
      </c>
      <c r="D7" t="str">
        <f>VLOOKUP(Table4[[#This Row],[Employee ID]],Tbl_Employee_Details[],17,FALSE)</f>
        <v>Organizational</v>
      </c>
      <c r="E7" s="6">
        <f ca="1">VLOOKUP(Table4[[#This Row],[Employee ID]],Tbl_Employee_Details[],16,FALSE)</f>
        <v>29.447222222222223</v>
      </c>
      <c r="F7" t="str">
        <f>VLOOKUP(Table4[[#This Row],[Employee ID]],Tbl_Employee_Details[],18,FALSE)</f>
        <v>Toulouse</v>
      </c>
      <c r="G7" t="str">
        <f>VLOOKUP(Table4[[#This Row],[Employee ID]],Tbl_Emp_Onboarding[],8,FALSE)</f>
        <v>Graduation/Bachelors</v>
      </c>
    </row>
    <row r="8" spans="1:7" x14ac:dyDescent="0.3">
      <c r="A8" s="17">
        <v>103794</v>
      </c>
      <c r="B8" t="str">
        <f>VLOOKUP(Table4[[#This Row],[Employee ID]],Tbl_Employee_Details[],4,0)</f>
        <v>Male</v>
      </c>
      <c r="C8" t="str">
        <f>VLOOKUP(Table4[[#This Row],[Employee ID]],Tbl_Employee_Details[],7,)</f>
        <v>Indonesia</v>
      </c>
      <c r="D8" t="str">
        <f>VLOOKUP(Table4[[#This Row],[Employee ID]],Tbl_Employee_Details[],17,FALSE)</f>
        <v>Marketing</v>
      </c>
      <c r="E8" s="6">
        <f ca="1">VLOOKUP(Table4[[#This Row],[Employee ID]],Tbl_Employee_Details[],16,FALSE)</f>
        <v>36.075000000000003</v>
      </c>
      <c r="F8" t="str">
        <f>VLOOKUP(Table4[[#This Row],[Employee ID]],Tbl_Employee_Details[],18,FALSE)</f>
        <v>New York</v>
      </c>
      <c r="G8" t="str">
        <f>VLOOKUP(Table4[[#This Row],[Employee ID]],Tbl_Emp_Onboarding[],8,FALSE)</f>
        <v>Student</v>
      </c>
    </row>
    <row r="9" spans="1:7" x14ac:dyDescent="0.3">
      <c r="A9" s="17">
        <v>103793</v>
      </c>
      <c r="B9" t="str">
        <f>VLOOKUP(Table4[[#This Row],[Employee ID]],Tbl_Employee_Details[],4,0)</f>
        <v>Female</v>
      </c>
      <c r="C9" t="str">
        <f>VLOOKUP(Table4[[#This Row],[Employee ID]],Tbl_Employee_Details[],7,)</f>
        <v>Russia</v>
      </c>
      <c r="D9" t="str">
        <f>VLOOKUP(Table4[[#This Row],[Employee ID]],Tbl_Employee_Details[],17,FALSE)</f>
        <v>Sales</v>
      </c>
      <c r="E9" s="6">
        <f ca="1">VLOOKUP(Table4[[#This Row],[Employee ID]],Tbl_Employee_Details[],16,FALSE)</f>
        <v>22.588888888888889</v>
      </c>
      <c r="F9" t="str">
        <f>VLOOKUP(Table4[[#This Row],[Employee ID]],Tbl_Employee_Details[],18,FALSE)</f>
        <v>Bangalore</v>
      </c>
      <c r="G9" t="str">
        <f>VLOOKUP(Table4[[#This Row],[Employee ID]],Tbl_Emp_Onboarding[],8,FALSE)</f>
        <v>Student</v>
      </c>
    </row>
    <row r="10" spans="1:7" x14ac:dyDescent="0.3">
      <c r="A10" s="17">
        <v>107878</v>
      </c>
      <c r="B10" t="str">
        <f>VLOOKUP(Table4[[#This Row],[Employee ID]],Tbl_Employee_Details[],4,0)</f>
        <v>Female</v>
      </c>
      <c r="C10" t="str">
        <f>VLOOKUP(Table4[[#This Row],[Employee ID]],Tbl_Employee_Details[],7,)</f>
        <v>Ukraine</v>
      </c>
      <c r="D10" t="str">
        <f>VLOOKUP(Table4[[#This Row],[Employee ID]],Tbl_Employee_Details[],17,FALSE)</f>
        <v>Sales</v>
      </c>
      <c r="E10" s="6">
        <f ca="1">VLOOKUP(Table4[[#This Row],[Employee ID]],Tbl_Employee_Details[],16,FALSE)</f>
        <v>27.080555555555556</v>
      </c>
      <c r="F10" t="str">
        <f>VLOOKUP(Table4[[#This Row],[Employee ID]],Tbl_Employee_Details[],18,FALSE)</f>
        <v>California</v>
      </c>
      <c r="G10" t="str">
        <f>VLOOKUP(Table4[[#This Row],[Employee ID]],Tbl_Emp_Onboarding[],8,FALSE)</f>
        <v>Student</v>
      </c>
    </row>
    <row r="11" spans="1:7" x14ac:dyDescent="0.3">
      <c r="A11" s="17">
        <v>106180</v>
      </c>
      <c r="B11" t="str">
        <f>VLOOKUP(Table4[[#This Row],[Employee ID]],Tbl_Employee_Details[],4,0)</f>
        <v>Female</v>
      </c>
      <c r="C11" t="str">
        <f>VLOOKUP(Table4[[#This Row],[Employee ID]],Tbl_Employee_Details[],7,)</f>
        <v>Portugal</v>
      </c>
      <c r="D11" t="str">
        <f>VLOOKUP(Table4[[#This Row],[Employee ID]],Tbl_Employee_Details[],17,FALSE)</f>
        <v>Sales</v>
      </c>
      <c r="E11" s="6">
        <f ca="1">VLOOKUP(Table4[[#This Row],[Employee ID]],Tbl_Employee_Details[],16,FALSE)</f>
        <v>30.625</v>
      </c>
      <c r="F11" t="str">
        <f>VLOOKUP(Table4[[#This Row],[Employee ID]],Tbl_Employee_Details[],18,FALSE)</f>
        <v>London</v>
      </c>
      <c r="G11" t="str">
        <f>VLOOKUP(Table4[[#This Row],[Employee ID]],Tbl_Emp_Onboarding[],8,FALSE)</f>
        <v>NA</v>
      </c>
    </row>
    <row r="12" spans="1:7" x14ac:dyDescent="0.3">
      <c r="A12" s="17">
        <v>103076</v>
      </c>
      <c r="B12" t="str">
        <f>VLOOKUP(Table4[[#This Row],[Employee ID]],Tbl_Employee_Details[],4,0)</f>
        <v>Female</v>
      </c>
      <c r="C12" t="str">
        <f>VLOOKUP(Table4[[#This Row],[Employee ID]],Tbl_Employee_Details[],7,)</f>
        <v>China</v>
      </c>
      <c r="D12" t="str">
        <f>VLOOKUP(Table4[[#This Row],[Employee ID]],Tbl_Employee_Details[],17,FALSE)</f>
        <v>Marketing</v>
      </c>
      <c r="E12" s="6">
        <f ca="1">VLOOKUP(Table4[[#This Row],[Employee ID]],Tbl_Employee_Details[],16,FALSE)</f>
        <v>44.3</v>
      </c>
      <c r="F12" t="str">
        <f>VLOOKUP(Table4[[#This Row],[Employee ID]],Tbl_Employee_Details[],18,FALSE)</f>
        <v>Toulouse</v>
      </c>
      <c r="G12" t="str">
        <f>VLOOKUP(Table4[[#This Row],[Employee ID]],Tbl_Emp_Onboarding[],8,FALSE)</f>
        <v>Post Graduation/Masters</v>
      </c>
    </row>
    <row r="13" spans="1:7" x14ac:dyDescent="0.3">
      <c r="A13" s="17">
        <v>107162</v>
      </c>
      <c r="B13" t="str">
        <f>VLOOKUP(Table4[[#This Row],[Employee ID]],Tbl_Employee_Details[],4,0)</f>
        <v>Female</v>
      </c>
      <c r="C13" t="str">
        <f>VLOOKUP(Table4[[#This Row],[Employee ID]],Tbl_Employee_Details[],7,)</f>
        <v>France</v>
      </c>
      <c r="D13" t="str">
        <f>VLOOKUP(Table4[[#This Row],[Employee ID]],Tbl_Employee_Details[],17,FALSE)</f>
        <v>Sales</v>
      </c>
      <c r="E13" s="6">
        <f ca="1">VLOOKUP(Table4[[#This Row],[Employee ID]],Tbl_Employee_Details[],16,FALSE)</f>
        <v>30.155555555555555</v>
      </c>
      <c r="F13" t="str">
        <f>VLOOKUP(Table4[[#This Row],[Employee ID]],Tbl_Employee_Details[],18,FALSE)</f>
        <v>Mumbai</v>
      </c>
      <c r="G13" t="str">
        <f>VLOOKUP(Table4[[#This Row],[Employee ID]],Tbl_Emp_Onboarding[],8,FALSE)</f>
        <v>Undergrad</v>
      </c>
    </row>
    <row r="14" spans="1:7" x14ac:dyDescent="0.3">
      <c r="A14" s="17">
        <v>106100</v>
      </c>
      <c r="B14" t="str">
        <f>VLOOKUP(Table4[[#This Row],[Employee ID]],Tbl_Employee_Details[],4,0)</f>
        <v>Male</v>
      </c>
      <c r="C14" t="str">
        <f>VLOOKUP(Table4[[#This Row],[Employee ID]],Tbl_Employee_Details[],7,)</f>
        <v>Ecuador</v>
      </c>
      <c r="D14" t="str">
        <f>VLOOKUP(Table4[[#This Row],[Employee ID]],Tbl_Employee_Details[],17,FALSE)</f>
        <v>Sales</v>
      </c>
      <c r="E14" s="6">
        <f ca="1">VLOOKUP(Table4[[#This Row],[Employee ID]],Tbl_Employee_Details[],16,FALSE)</f>
        <v>31.216666666666665</v>
      </c>
      <c r="F14" t="str">
        <f>VLOOKUP(Table4[[#This Row],[Employee ID]],Tbl_Employee_Details[],18,FALSE)</f>
        <v>Dubai</v>
      </c>
      <c r="G14" t="str">
        <f>VLOOKUP(Table4[[#This Row],[Employee ID]],Tbl_Emp_Onboarding[],8,FALSE)</f>
        <v>Undergrad</v>
      </c>
    </row>
    <row r="15" spans="1:7" x14ac:dyDescent="0.3">
      <c r="A15" s="17">
        <v>103241</v>
      </c>
      <c r="B15" t="str">
        <f>VLOOKUP(Table4[[#This Row],[Employee ID]],Tbl_Employee_Details[],4,0)</f>
        <v>Female</v>
      </c>
      <c r="C15" t="str">
        <f>VLOOKUP(Table4[[#This Row],[Employee ID]],Tbl_Employee_Details[],7,)</f>
        <v>Mexico</v>
      </c>
      <c r="D15" t="str">
        <f>VLOOKUP(Table4[[#This Row],[Employee ID]],Tbl_Employee_Details[],17,FALSE)</f>
        <v>Marketing</v>
      </c>
      <c r="E15" s="6">
        <f ca="1">VLOOKUP(Table4[[#This Row],[Employee ID]],Tbl_Employee_Details[],16,FALSE)</f>
        <v>39.286111111111111</v>
      </c>
      <c r="F15" t="str">
        <f>VLOOKUP(Table4[[#This Row],[Employee ID]],Tbl_Employee_Details[],18,FALSE)</f>
        <v>Mumbai</v>
      </c>
      <c r="G15" t="str">
        <f>VLOOKUP(Table4[[#This Row],[Employee ID]],Tbl_Emp_Onboarding[],8,FALSE)</f>
        <v>PHD</v>
      </c>
    </row>
    <row r="16" spans="1:7" x14ac:dyDescent="0.3">
      <c r="A16" s="17">
        <v>107986</v>
      </c>
      <c r="B16" t="str">
        <f>VLOOKUP(Table4[[#This Row],[Employee ID]],Tbl_Employee_Details[],4,0)</f>
        <v>Female</v>
      </c>
      <c r="C16" t="str">
        <f>VLOOKUP(Table4[[#This Row],[Employee ID]],Tbl_Employee_Details[],7,)</f>
        <v>Sudan</v>
      </c>
      <c r="D16" t="str">
        <f>VLOOKUP(Table4[[#This Row],[Employee ID]],Tbl_Employee_Details[],17,FALSE)</f>
        <v>Sales</v>
      </c>
      <c r="E16" s="6">
        <f ca="1">VLOOKUP(Table4[[#This Row],[Employee ID]],Tbl_Employee_Details[],16,FALSE)</f>
        <v>28.06111111111111</v>
      </c>
      <c r="F16" t="str">
        <f>VLOOKUP(Table4[[#This Row],[Employee ID]],Tbl_Employee_Details[],18,FALSE)</f>
        <v>Dubai</v>
      </c>
      <c r="G16" t="str">
        <f>VLOOKUP(Table4[[#This Row],[Employee ID]],Tbl_Emp_Onboarding[],8,FALSE)</f>
        <v>Undergrad</v>
      </c>
    </row>
    <row r="17" spans="1:7" x14ac:dyDescent="0.3">
      <c r="A17" s="17">
        <v>104923</v>
      </c>
      <c r="B17" t="str">
        <f>VLOOKUP(Table4[[#This Row],[Employee ID]],Tbl_Employee_Details[],4,0)</f>
        <v>Female</v>
      </c>
      <c r="C17" t="str">
        <f>VLOOKUP(Table4[[#This Row],[Employee ID]],Tbl_Employee_Details[],7,)</f>
        <v>Greece</v>
      </c>
      <c r="D17" t="str">
        <f>VLOOKUP(Table4[[#This Row],[Employee ID]],Tbl_Employee_Details[],17,FALSE)</f>
        <v>Sales</v>
      </c>
      <c r="E17" s="6">
        <f ca="1">VLOOKUP(Table4[[#This Row],[Employee ID]],Tbl_Employee_Details[],16,FALSE)</f>
        <v>20.072222222222223</v>
      </c>
      <c r="F17" t="str">
        <f>VLOOKUP(Table4[[#This Row],[Employee ID]],Tbl_Employee_Details[],18,FALSE)</f>
        <v>Mumbai</v>
      </c>
      <c r="G17" t="str">
        <f>VLOOKUP(Table4[[#This Row],[Employee ID]],Tbl_Emp_Onboarding[],8,FALSE)</f>
        <v>NA</v>
      </c>
    </row>
    <row r="18" spans="1:7" x14ac:dyDescent="0.3">
      <c r="A18" s="17">
        <v>102355</v>
      </c>
      <c r="B18" t="str">
        <f>VLOOKUP(Table4[[#This Row],[Employee ID]],Tbl_Employee_Details[],4,0)</f>
        <v>Male</v>
      </c>
      <c r="C18" t="str">
        <f>VLOOKUP(Table4[[#This Row],[Employee ID]],Tbl_Employee_Details[],7,)</f>
        <v>China</v>
      </c>
      <c r="D18" t="str">
        <f>VLOOKUP(Table4[[#This Row],[Employee ID]],Tbl_Employee_Details[],17,FALSE)</f>
        <v>Sales</v>
      </c>
      <c r="E18" s="6">
        <f ca="1">VLOOKUP(Table4[[#This Row],[Employee ID]],Tbl_Employee_Details[],16,FALSE)</f>
        <v>37.166666666666664</v>
      </c>
      <c r="F18" t="str">
        <f>VLOOKUP(Table4[[#This Row],[Employee ID]],Tbl_Employee_Details[],18,FALSE)</f>
        <v>Dubai</v>
      </c>
      <c r="G18" t="str">
        <f>VLOOKUP(Table4[[#This Row],[Employee ID]],Tbl_Emp_Onboarding[],8,FALSE)</f>
        <v>Student</v>
      </c>
    </row>
    <row r="19" spans="1:7" x14ac:dyDescent="0.3">
      <c r="A19" s="17">
        <v>103869</v>
      </c>
      <c r="B19" t="str">
        <f>VLOOKUP(Table4[[#This Row],[Employee ID]],Tbl_Employee_Details[],4,0)</f>
        <v>Male</v>
      </c>
      <c r="C19" t="str">
        <f>VLOOKUP(Table4[[#This Row],[Employee ID]],Tbl_Employee_Details[],7,)</f>
        <v>Argentina</v>
      </c>
      <c r="D19" t="str">
        <f>VLOOKUP(Table4[[#This Row],[Employee ID]],Tbl_Employee_Details[],17,FALSE)</f>
        <v>Sales</v>
      </c>
      <c r="E19" s="6">
        <f ca="1">VLOOKUP(Table4[[#This Row],[Employee ID]],Tbl_Employee_Details[],16,FALSE)</f>
        <v>21.763888888888889</v>
      </c>
      <c r="F19" t="str">
        <f>VLOOKUP(Table4[[#This Row],[Employee ID]],Tbl_Employee_Details[],18,FALSE)</f>
        <v>Mumbai</v>
      </c>
      <c r="G19" t="str">
        <f>VLOOKUP(Table4[[#This Row],[Employee ID]],Tbl_Emp_Onboarding[],8,FALSE)</f>
        <v>NA</v>
      </c>
    </row>
    <row r="20" spans="1:7" x14ac:dyDescent="0.3">
      <c r="A20" s="17">
        <v>107114</v>
      </c>
      <c r="B20" t="str">
        <f>VLOOKUP(Table4[[#This Row],[Employee ID]],Tbl_Employee_Details[],4,0)</f>
        <v>Female</v>
      </c>
      <c r="C20" t="str">
        <f>VLOOKUP(Table4[[#This Row],[Employee ID]],Tbl_Employee_Details[],7,)</f>
        <v>Brazil</v>
      </c>
      <c r="D20" t="str">
        <f>VLOOKUP(Table4[[#This Row],[Employee ID]],Tbl_Employee_Details[],17,FALSE)</f>
        <v>Sales</v>
      </c>
      <c r="E20" s="6">
        <f ca="1">VLOOKUP(Table4[[#This Row],[Employee ID]],Tbl_Employee_Details[],16,FALSE)</f>
        <v>23.744444444444444</v>
      </c>
      <c r="F20" t="str">
        <f>VLOOKUP(Table4[[#This Row],[Employee ID]],Tbl_Employee_Details[],18,FALSE)</f>
        <v>Dubai</v>
      </c>
      <c r="G20" t="str">
        <f>VLOOKUP(Table4[[#This Row],[Employee ID]],Tbl_Emp_Onboarding[],8,FALSE)</f>
        <v>Graduation/Bachelors</v>
      </c>
    </row>
    <row r="21" spans="1:7" x14ac:dyDescent="0.3">
      <c r="A21" s="17">
        <v>107377</v>
      </c>
      <c r="B21" t="str">
        <f>VLOOKUP(Table4[[#This Row],[Employee ID]],Tbl_Employee_Details[],4,0)</f>
        <v>Female</v>
      </c>
      <c r="C21" t="str">
        <f>VLOOKUP(Table4[[#This Row],[Employee ID]],Tbl_Employee_Details[],7,)</f>
        <v>Indonesia</v>
      </c>
      <c r="D21" t="str">
        <f>VLOOKUP(Table4[[#This Row],[Employee ID]],Tbl_Employee_Details[],17,FALSE)</f>
        <v>IT &amp; Admin</v>
      </c>
      <c r="E21" s="6">
        <f ca="1">VLOOKUP(Table4[[#This Row],[Employee ID]],Tbl_Employee_Details[],16,FALSE)</f>
        <v>22.861111111111111</v>
      </c>
      <c r="F21" t="str">
        <f>VLOOKUP(Table4[[#This Row],[Employee ID]],Tbl_Employee_Details[],18,FALSE)</f>
        <v>Paris</v>
      </c>
      <c r="G21" t="str">
        <f>VLOOKUP(Table4[[#This Row],[Employee ID]],Tbl_Emp_Onboarding[],8,FALSE)</f>
        <v>Post Graduation/Masters</v>
      </c>
    </row>
    <row r="22" spans="1:7" x14ac:dyDescent="0.3">
      <c r="A22" s="17">
        <v>102050</v>
      </c>
      <c r="B22" t="str">
        <f>VLOOKUP(Table4[[#This Row],[Employee ID]],Tbl_Employee_Details[],4,0)</f>
        <v>Female</v>
      </c>
      <c r="C22" t="str">
        <f>VLOOKUP(Table4[[#This Row],[Employee ID]],Tbl_Employee_Details[],7,)</f>
        <v>Tanzania</v>
      </c>
      <c r="D22" t="str">
        <f>VLOOKUP(Table4[[#This Row],[Employee ID]],Tbl_Employee_Details[],17,FALSE)</f>
        <v>Sales</v>
      </c>
      <c r="E22" s="6">
        <f ca="1">VLOOKUP(Table4[[#This Row],[Employee ID]],Tbl_Employee_Details[],16,FALSE)</f>
        <v>28.961111111111112</v>
      </c>
      <c r="F22" t="str">
        <f>VLOOKUP(Table4[[#This Row],[Employee ID]],Tbl_Employee_Details[],18,FALSE)</f>
        <v>Paris</v>
      </c>
      <c r="G22" t="str">
        <f>VLOOKUP(Table4[[#This Row],[Employee ID]],Tbl_Emp_Onboarding[],8,FALSE)</f>
        <v>Graduation/Bachelors</v>
      </c>
    </row>
    <row r="23" spans="1:7" x14ac:dyDescent="0.3">
      <c r="A23" s="17">
        <v>105313</v>
      </c>
      <c r="B23" t="str">
        <f>VLOOKUP(Table4[[#This Row],[Employee ID]],Tbl_Employee_Details[],4,0)</f>
        <v>Male</v>
      </c>
      <c r="C23" t="str">
        <f>VLOOKUP(Table4[[#This Row],[Employee ID]],Tbl_Employee_Details[],7,)</f>
        <v>Mexico</v>
      </c>
      <c r="D23" t="str">
        <f>VLOOKUP(Table4[[#This Row],[Employee ID]],Tbl_Employee_Details[],17,FALSE)</f>
        <v>Sales</v>
      </c>
      <c r="E23" s="6">
        <f ca="1">VLOOKUP(Table4[[#This Row],[Employee ID]],Tbl_Employee_Details[],16,FALSE)</f>
        <v>30.772222222222222</v>
      </c>
      <c r="F23" t="str">
        <f>VLOOKUP(Table4[[#This Row],[Employee ID]],Tbl_Employee_Details[],18,FALSE)</f>
        <v>Paris</v>
      </c>
      <c r="G23" t="str">
        <f>VLOOKUP(Table4[[#This Row],[Employee ID]],Tbl_Emp_Onboarding[],8,FALSE)</f>
        <v>Graduation/Bachelors</v>
      </c>
    </row>
    <row r="24" spans="1:7" x14ac:dyDescent="0.3">
      <c r="A24" s="17">
        <v>106118</v>
      </c>
      <c r="B24" t="str">
        <f>VLOOKUP(Table4[[#This Row],[Employee ID]],Tbl_Employee_Details[],4,0)</f>
        <v>Male</v>
      </c>
      <c r="C24" t="str">
        <f>VLOOKUP(Table4[[#This Row],[Employee ID]],Tbl_Employee_Details[],7,)</f>
        <v>Poland</v>
      </c>
      <c r="D24" t="str">
        <f>VLOOKUP(Table4[[#This Row],[Employee ID]],Tbl_Employee_Details[],17,FALSE)</f>
        <v>Sales</v>
      </c>
      <c r="E24" s="6">
        <f ca="1">VLOOKUP(Table4[[#This Row],[Employee ID]],Tbl_Employee_Details[],16,FALSE)</f>
        <v>23.886111111111113</v>
      </c>
      <c r="F24" t="str">
        <f>VLOOKUP(Table4[[#This Row],[Employee ID]],Tbl_Employee_Details[],18,FALSE)</f>
        <v>Mumbai</v>
      </c>
      <c r="G24" t="str">
        <f>VLOOKUP(Table4[[#This Row],[Employee ID]],Tbl_Emp_Onboarding[],8,FALSE)</f>
        <v>Student</v>
      </c>
    </row>
    <row r="25" spans="1:7" x14ac:dyDescent="0.3">
      <c r="A25" s="17">
        <v>103832</v>
      </c>
      <c r="B25" t="str">
        <f>VLOOKUP(Table4[[#This Row],[Employee ID]],Tbl_Employee_Details[],4,0)</f>
        <v>Male</v>
      </c>
      <c r="C25" t="str">
        <f>VLOOKUP(Table4[[#This Row],[Employee ID]],Tbl_Employee_Details[],7,)</f>
        <v>India</v>
      </c>
      <c r="D25" t="str">
        <f>VLOOKUP(Table4[[#This Row],[Employee ID]],Tbl_Employee_Details[],17,FALSE)</f>
        <v>Sales</v>
      </c>
      <c r="E25" s="6">
        <f ca="1">VLOOKUP(Table4[[#This Row],[Employee ID]],Tbl_Employee_Details[],16,FALSE)</f>
        <v>24.080555555555556</v>
      </c>
      <c r="F25" t="str">
        <f>VLOOKUP(Table4[[#This Row],[Employee ID]],Tbl_Employee_Details[],18,FALSE)</f>
        <v>Dubai</v>
      </c>
      <c r="G25" t="str">
        <f>VLOOKUP(Table4[[#This Row],[Employee ID]],Tbl_Emp_Onboarding[],8,FALSE)</f>
        <v>NA</v>
      </c>
    </row>
    <row r="26" spans="1:7" x14ac:dyDescent="0.3">
      <c r="A26" s="17">
        <v>107469</v>
      </c>
      <c r="B26" t="str">
        <f>VLOOKUP(Table4[[#This Row],[Employee ID]],Tbl_Employee_Details[],4,0)</f>
        <v>Male</v>
      </c>
      <c r="C26" t="str">
        <f>VLOOKUP(Table4[[#This Row],[Employee ID]],Tbl_Employee_Details[],7,)</f>
        <v>Japan</v>
      </c>
      <c r="D26" t="str">
        <f>VLOOKUP(Table4[[#This Row],[Employee ID]],Tbl_Employee_Details[],17,FALSE)</f>
        <v>Finance</v>
      </c>
      <c r="E26" s="6">
        <f ca="1">VLOOKUP(Table4[[#This Row],[Employee ID]],Tbl_Employee_Details[],16,FALSE)</f>
        <v>26.975000000000001</v>
      </c>
      <c r="F26" t="str">
        <f>VLOOKUP(Table4[[#This Row],[Employee ID]],Tbl_Employee_Details[],18,FALSE)</f>
        <v>Paris</v>
      </c>
      <c r="G26" t="str">
        <f>VLOOKUP(Table4[[#This Row],[Employee ID]],Tbl_Emp_Onboarding[],8,FALSE)</f>
        <v>PHD</v>
      </c>
    </row>
    <row r="27" spans="1:7" x14ac:dyDescent="0.3">
      <c r="A27" s="17">
        <v>106004</v>
      </c>
      <c r="B27" t="str">
        <f>VLOOKUP(Table4[[#This Row],[Employee ID]],Tbl_Employee_Details[],4,0)</f>
        <v>Male</v>
      </c>
      <c r="C27" t="str">
        <f>VLOOKUP(Table4[[#This Row],[Employee ID]],Tbl_Employee_Details[],7,)</f>
        <v>Iran</v>
      </c>
      <c r="D27" t="str">
        <f>VLOOKUP(Table4[[#This Row],[Employee ID]],Tbl_Employee_Details[],17,FALSE)</f>
        <v>Sales</v>
      </c>
      <c r="E27" s="6">
        <f ca="1">VLOOKUP(Table4[[#This Row],[Employee ID]],Tbl_Employee_Details[],16,FALSE)</f>
        <v>26.844444444444445</v>
      </c>
      <c r="F27" t="str">
        <f>VLOOKUP(Table4[[#This Row],[Employee ID]],Tbl_Employee_Details[],18,FALSE)</f>
        <v>Mumbai</v>
      </c>
      <c r="G27" t="str">
        <f>VLOOKUP(Table4[[#This Row],[Employee ID]],Tbl_Emp_Onboarding[],8,FALSE)</f>
        <v>Student</v>
      </c>
    </row>
    <row r="28" spans="1:7" x14ac:dyDescent="0.3">
      <c r="A28" s="17">
        <v>104211</v>
      </c>
      <c r="B28" t="str">
        <f>VLOOKUP(Table4[[#This Row],[Employee ID]],Tbl_Employee_Details[],4,0)</f>
        <v>Female</v>
      </c>
      <c r="C28" t="str">
        <f>VLOOKUP(Table4[[#This Row],[Employee ID]],Tbl_Employee_Details[],7,)</f>
        <v>Saudi Arabia</v>
      </c>
      <c r="D28" t="str">
        <f>VLOOKUP(Table4[[#This Row],[Employee ID]],Tbl_Employee_Details[],17,FALSE)</f>
        <v>Sales</v>
      </c>
      <c r="E28" s="6">
        <f ca="1">VLOOKUP(Table4[[#This Row],[Employee ID]],Tbl_Employee_Details[],16,FALSE)</f>
        <v>34.024999999999999</v>
      </c>
      <c r="F28" t="str">
        <f>VLOOKUP(Table4[[#This Row],[Employee ID]],Tbl_Employee_Details[],18,FALSE)</f>
        <v>Toulouse</v>
      </c>
      <c r="G28" t="str">
        <f>VLOOKUP(Table4[[#This Row],[Employee ID]],Tbl_Emp_Onboarding[],8,FALSE)</f>
        <v>NA</v>
      </c>
    </row>
    <row r="29" spans="1:7" x14ac:dyDescent="0.3">
      <c r="A29" s="17">
        <v>104750</v>
      </c>
      <c r="B29" t="str">
        <f>VLOOKUP(Table4[[#This Row],[Employee ID]],Tbl_Employee_Details[],4,0)</f>
        <v>Male</v>
      </c>
      <c r="C29" t="str">
        <f>VLOOKUP(Table4[[#This Row],[Employee ID]],Tbl_Employee_Details[],7,)</f>
        <v>Republic of North Macedonia</v>
      </c>
      <c r="D29" t="str">
        <f>VLOOKUP(Table4[[#This Row],[Employee ID]],Tbl_Employee_Details[],17,FALSE)</f>
        <v>Sales</v>
      </c>
      <c r="E29" s="6">
        <f ca="1">VLOOKUP(Table4[[#This Row],[Employee ID]],Tbl_Employee_Details[],16,FALSE)</f>
        <v>37.116666666666667</v>
      </c>
      <c r="F29" t="str">
        <f>VLOOKUP(Table4[[#This Row],[Employee ID]],Tbl_Employee_Details[],18,FALSE)</f>
        <v>Paris</v>
      </c>
      <c r="G29" t="str">
        <f>VLOOKUP(Table4[[#This Row],[Employee ID]],Tbl_Emp_Onboarding[],8,FALSE)</f>
        <v>Student</v>
      </c>
    </row>
    <row r="30" spans="1:7" x14ac:dyDescent="0.3">
      <c r="A30" s="17">
        <v>103841</v>
      </c>
      <c r="B30" t="str">
        <f>VLOOKUP(Table4[[#This Row],[Employee ID]],Tbl_Employee_Details[],4,0)</f>
        <v>Female</v>
      </c>
      <c r="C30" t="str">
        <f>VLOOKUP(Table4[[#This Row],[Employee ID]],Tbl_Employee_Details[],7,)</f>
        <v>China</v>
      </c>
      <c r="D30" t="str">
        <f>VLOOKUP(Table4[[#This Row],[Employee ID]],Tbl_Employee_Details[],17,FALSE)</f>
        <v>Sales</v>
      </c>
      <c r="E30" s="6">
        <f ca="1">VLOOKUP(Table4[[#This Row],[Employee ID]],Tbl_Employee_Details[],16,FALSE)</f>
        <v>40.472222222222221</v>
      </c>
      <c r="F30" t="str">
        <f>VLOOKUP(Table4[[#This Row],[Employee ID]],Tbl_Employee_Details[],18,FALSE)</f>
        <v>New York</v>
      </c>
      <c r="G30" t="str">
        <f>VLOOKUP(Table4[[#This Row],[Employee ID]],Tbl_Emp_Onboarding[],8,FALSE)</f>
        <v>Graduation/Bachelors</v>
      </c>
    </row>
    <row r="31" spans="1:7" x14ac:dyDescent="0.3">
      <c r="A31" s="17">
        <v>104352</v>
      </c>
      <c r="B31" t="str">
        <f>VLOOKUP(Table4[[#This Row],[Employee ID]],Tbl_Employee_Details[],4,0)</f>
        <v>Female</v>
      </c>
      <c r="C31" t="str">
        <f>VLOOKUP(Table4[[#This Row],[Employee ID]],Tbl_Employee_Details[],7,)</f>
        <v>India</v>
      </c>
      <c r="D31" t="str">
        <f>VLOOKUP(Table4[[#This Row],[Employee ID]],Tbl_Employee_Details[],17,FALSE)</f>
        <v>Sales</v>
      </c>
      <c r="E31" s="6">
        <f ca="1">VLOOKUP(Table4[[#This Row],[Employee ID]],Tbl_Employee_Details[],16,FALSE)</f>
        <v>40.238888888888887</v>
      </c>
      <c r="F31" t="str">
        <f>VLOOKUP(Table4[[#This Row],[Employee ID]],Tbl_Employee_Details[],18,FALSE)</f>
        <v>London</v>
      </c>
      <c r="G31" t="str">
        <f>VLOOKUP(Table4[[#This Row],[Employee ID]],Tbl_Emp_Onboarding[],8,FALSE)</f>
        <v>Student</v>
      </c>
    </row>
    <row r="32" spans="1:7" x14ac:dyDescent="0.3">
      <c r="A32" s="17">
        <v>105171</v>
      </c>
      <c r="B32" t="str">
        <f>VLOOKUP(Table4[[#This Row],[Employee ID]],Tbl_Employee_Details[],4,0)</f>
        <v>Female</v>
      </c>
      <c r="C32" t="str">
        <f>VLOOKUP(Table4[[#This Row],[Employee ID]],Tbl_Employee_Details[],7,)</f>
        <v>Peru</v>
      </c>
      <c r="D32" t="str">
        <f>VLOOKUP(Table4[[#This Row],[Employee ID]],Tbl_Employee_Details[],17,FALSE)</f>
        <v>IT &amp; Admin</v>
      </c>
      <c r="E32" s="6">
        <f ca="1">VLOOKUP(Table4[[#This Row],[Employee ID]],Tbl_Employee_Details[],16,FALSE)</f>
        <v>24.830555555555556</v>
      </c>
      <c r="F32" t="str">
        <f>VLOOKUP(Table4[[#This Row],[Employee ID]],Tbl_Employee_Details[],18,FALSE)</f>
        <v>Paris</v>
      </c>
      <c r="G32" t="str">
        <f>VLOOKUP(Table4[[#This Row],[Employee ID]],Tbl_Emp_Onboarding[],8,FALSE)</f>
        <v>Post Graduation/Masters</v>
      </c>
    </row>
    <row r="33" spans="1:7" x14ac:dyDescent="0.3">
      <c r="A33" s="17">
        <v>102504</v>
      </c>
      <c r="B33" t="str">
        <f>VLOOKUP(Table4[[#This Row],[Employee ID]],Tbl_Employee_Details[],4,0)</f>
        <v>Male</v>
      </c>
      <c r="C33" t="str">
        <f>VLOOKUP(Table4[[#This Row],[Employee ID]],Tbl_Employee_Details[],7,)</f>
        <v>Faroe Islands</v>
      </c>
      <c r="D33" t="str">
        <f>VLOOKUP(Table4[[#This Row],[Employee ID]],Tbl_Employee_Details[],17,FALSE)</f>
        <v>Finance</v>
      </c>
      <c r="E33" s="6">
        <f ca="1">VLOOKUP(Table4[[#This Row],[Employee ID]],Tbl_Employee_Details[],16,FALSE)</f>
        <v>21.680555555555557</v>
      </c>
      <c r="F33" t="str">
        <f>VLOOKUP(Table4[[#This Row],[Employee ID]],Tbl_Employee_Details[],18,FALSE)</f>
        <v>California</v>
      </c>
      <c r="G33" t="str">
        <f>VLOOKUP(Table4[[#This Row],[Employee ID]],Tbl_Emp_Onboarding[],8,FALSE)</f>
        <v>PHD</v>
      </c>
    </row>
    <row r="34" spans="1:7" x14ac:dyDescent="0.3">
      <c r="A34" s="17">
        <v>102130</v>
      </c>
      <c r="B34" t="str">
        <f>VLOOKUP(Table4[[#This Row],[Employee ID]],Tbl_Employee_Details[],4,0)</f>
        <v>Male</v>
      </c>
      <c r="C34" t="str">
        <f>VLOOKUP(Table4[[#This Row],[Employee ID]],Tbl_Employee_Details[],7,)</f>
        <v>Portugal</v>
      </c>
      <c r="D34" t="str">
        <f>VLOOKUP(Table4[[#This Row],[Employee ID]],Tbl_Employee_Details[],17,FALSE)</f>
        <v>HR</v>
      </c>
      <c r="E34" s="6">
        <f ca="1">VLOOKUP(Table4[[#This Row],[Employee ID]],Tbl_Employee_Details[],16,FALSE)</f>
        <v>44.988888888888887</v>
      </c>
      <c r="F34" t="str">
        <f>VLOOKUP(Table4[[#This Row],[Employee ID]],Tbl_Employee_Details[],18,FALSE)</f>
        <v>Toulouse</v>
      </c>
      <c r="G34" t="str">
        <f>VLOOKUP(Table4[[#This Row],[Employee ID]],Tbl_Emp_Onboarding[],8,FALSE)</f>
        <v>Undergrad</v>
      </c>
    </row>
    <row r="35" spans="1:7" x14ac:dyDescent="0.3">
      <c r="A35" s="17">
        <v>106263</v>
      </c>
      <c r="B35" t="str">
        <f>VLOOKUP(Table4[[#This Row],[Employee ID]],Tbl_Employee_Details[],4,0)</f>
        <v>Female</v>
      </c>
      <c r="C35" t="str">
        <f>VLOOKUP(Table4[[#This Row],[Employee ID]],Tbl_Employee_Details[],7,)</f>
        <v>Greece</v>
      </c>
      <c r="D35" t="str">
        <f>VLOOKUP(Table4[[#This Row],[Employee ID]],Tbl_Employee_Details[],17,FALSE)</f>
        <v>HR</v>
      </c>
      <c r="E35" s="6">
        <f ca="1">VLOOKUP(Table4[[#This Row],[Employee ID]],Tbl_Employee_Details[],16,FALSE)</f>
        <v>37.511111111111113</v>
      </c>
      <c r="F35" t="str">
        <f>VLOOKUP(Table4[[#This Row],[Employee ID]],Tbl_Employee_Details[],18,FALSE)</f>
        <v>California</v>
      </c>
      <c r="G35" t="str">
        <f>VLOOKUP(Table4[[#This Row],[Employee ID]],Tbl_Emp_Onboarding[],8,FALSE)</f>
        <v>Undergrad</v>
      </c>
    </row>
    <row r="36" spans="1:7" x14ac:dyDescent="0.3">
      <c r="A36" s="17">
        <v>105304</v>
      </c>
      <c r="B36" t="str">
        <f>VLOOKUP(Table4[[#This Row],[Employee ID]],Tbl_Employee_Details[],4,0)</f>
        <v>Male</v>
      </c>
      <c r="C36" t="str">
        <f>VLOOKUP(Table4[[#This Row],[Employee ID]],Tbl_Employee_Details[],7,)</f>
        <v>China</v>
      </c>
      <c r="D36" t="str">
        <f>VLOOKUP(Table4[[#This Row],[Employee ID]],Tbl_Employee_Details[],17,FALSE)</f>
        <v>HR</v>
      </c>
      <c r="E36" s="6">
        <f ca="1">VLOOKUP(Table4[[#This Row],[Employee ID]],Tbl_Employee_Details[],16,FALSE)</f>
        <v>23.019444444444446</v>
      </c>
      <c r="F36" t="str">
        <f>VLOOKUP(Table4[[#This Row],[Employee ID]],Tbl_Employee_Details[],18,FALSE)</f>
        <v>London</v>
      </c>
      <c r="G36" t="str">
        <f>VLOOKUP(Table4[[#This Row],[Employee ID]],Tbl_Emp_Onboarding[],8,FALSE)</f>
        <v>Post Graduation/Masters</v>
      </c>
    </row>
    <row r="37" spans="1:7" x14ac:dyDescent="0.3">
      <c r="A37" s="17">
        <v>103004</v>
      </c>
      <c r="B37" t="str">
        <f>VLOOKUP(Table4[[#This Row],[Employee ID]],Tbl_Employee_Details[],4,0)</f>
        <v>Female</v>
      </c>
      <c r="C37" t="str">
        <f>VLOOKUP(Table4[[#This Row],[Employee ID]],Tbl_Employee_Details[],7,)</f>
        <v>China</v>
      </c>
      <c r="D37" t="str">
        <f>VLOOKUP(Table4[[#This Row],[Employee ID]],Tbl_Employee_Details[],17,FALSE)</f>
        <v>HR</v>
      </c>
      <c r="E37" s="6">
        <f ca="1">VLOOKUP(Table4[[#This Row],[Employee ID]],Tbl_Employee_Details[],16,FALSE)</f>
        <v>19.666666666666668</v>
      </c>
      <c r="F37" t="str">
        <f>VLOOKUP(Table4[[#This Row],[Employee ID]],Tbl_Employee_Details[],18,FALSE)</f>
        <v>Bangalore</v>
      </c>
      <c r="G37" t="str">
        <f>VLOOKUP(Table4[[#This Row],[Employee ID]],Tbl_Emp_Onboarding[],8,FALSE)</f>
        <v>Student</v>
      </c>
    </row>
    <row r="38" spans="1:7" x14ac:dyDescent="0.3">
      <c r="A38" s="17">
        <v>103734</v>
      </c>
      <c r="B38" t="str">
        <f>VLOOKUP(Table4[[#This Row],[Employee ID]],Tbl_Employee_Details[],4,0)</f>
        <v>Female</v>
      </c>
      <c r="C38" t="str">
        <f>VLOOKUP(Table4[[#This Row],[Employee ID]],Tbl_Employee_Details[],7,)</f>
        <v>Indonesia</v>
      </c>
      <c r="D38" t="str">
        <f>VLOOKUP(Table4[[#This Row],[Employee ID]],Tbl_Employee_Details[],17,FALSE)</f>
        <v>HR</v>
      </c>
      <c r="E38" s="6">
        <f ca="1">VLOOKUP(Table4[[#This Row],[Employee ID]],Tbl_Employee_Details[],16,FALSE)</f>
        <v>21.502777777777776</v>
      </c>
      <c r="F38" t="str">
        <f>VLOOKUP(Table4[[#This Row],[Employee ID]],Tbl_Employee_Details[],18,FALSE)</f>
        <v>New York</v>
      </c>
      <c r="G38" t="str">
        <f>VLOOKUP(Table4[[#This Row],[Employee ID]],Tbl_Emp_Onboarding[],8,FALSE)</f>
        <v>Student</v>
      </c>
    </row>
    <row r="39" spans="1:7" x14ac:dyDescent="0.3">
      <c r="A39" s="17">
        <v>102501</v>
      </c>
      <c r="B39" t="str">
        <f>VLOOKUP(Table4[[#This Row],[Employee ID]],Tbl_Employee_Details[],4,0)</f>
        <v>Male</v>
      </c>
      <c r="C39" t="str">
        <f>VLOOKUP(Table4[[#This Row],[Employee ID]],Tbl_Employee_Details[],7,)</f>
        <v>South Africa</v>
      </c>
      <c r="D39" t="str">
        <f>VLOOKUP(Table4[[#This Row],[Employee ID]],Tbl_Employee_Details[],17,FALSE)</f>
        <v>HR</v>
      </c>
      <c r="E39" s="6">
        <f ca="1">VLOOKUP(Table4[[#This Row],[Employee ID]],Tbl_Employee_Details[],16,FALSE)</f>
        <v>39.355555555555554</v>
      </c>
      <c r="F39" t="str">
        <f>VLOOKUP(Table4[[#This Row],[Employee ID]],Tbl_Employee_Details[],18,FALSE)</f>
        <v>New York</v>
      </c>
      <c r="G39" t="str">
        <f>VLOOKUP(Table4[[#This Row],[Employee ID]],Tbl_Emp_Onboarding[],8,FALSE)</f>
        <v>Undergrad</v>
      </c>
    </row>
    <row r="40" spans="1:7" x14ac:dyDescent="0.3">
      <c r="A40" s="17">
        <v>107791</v>
      </c>
      <c r="B40" t="str">
        <f>VLOOKUP(Table4[[#This Row],[Employee ID]],Tbl_Employee_Details[],4,0)</f>
        <v>Male</v>
      </c>
      <c r="C40" t="str">
        <f>VLOOKUP(Table4[[#This Row],[Employee ID]],Tbl_Employee_Details[],7,)</f>
        <v>India</v>
      </c>
      <c r="D40" t="str">
        <f>VLOOKUP(Table4[[#This Row],[Employee ID]],Tbl_Employee_Details[],17,FALSE)</f>
        <v>HR</v>
      </c>
      <c r="E40" s="6">
        <f ca="1">VLOOKUP(Table4[[#This Row],[Employee ID]],Tbl_Employee_Details[],16,FALSE)</f>
        <v>19.100000000000001</v>
      </c>
      <c r="F40" t="str">
        <f>VLOOKUP(Table4[[#This Row],[Employee ID]],Tbl_Employee_Details[],18,FALSE)</f>
        <v>California</v>
      </c>
      <c r="G40" t="str">
        <f>VLOOKUP(Table4[[#This Row],[Employee ID]],Tbl_Emp_Onboarding[],8,FALSE)</f>
        <v>PHD</v>
      </c>
    </row>
    <row r="41" spans="1:7" x14ac:dyDescent="0.3">
      <c r="A41" s="17">
        <v>106870</v>
      </c>
      <c r="B41" t="str">
        <f>VLOOKUP(Table4[[#This Row],[Employee ID]],Tbl_Employee_Details[],4,0)</f>
        <v>Male</v>
      </c>
      <c r="C41" t="str">
        <f>VLOOKUP(Table4[[#This Row],[Employee ID]],Tbl_Employee_Details[],7,)</f>
        <v>Bangladesh</v>
      </c>
      <c r="D41" t="str">
        <f>VLOOKUP(Table4[[#This Row],[Employee ID]],Tbl_Employee_Details[],17,FALSE)</f>
        <v>Marketing</v>
      </c>
      <c r="E41" s="6">
        <f ca="1">VLOOKUP(Table4[[#This Row],[Employee ID]],Tbl_Employee_Details[],16,FALSE)</f>
        <v>20.558333333333334</v>
      </c>
      <c r="F41" t="str">
        <f>VLOOKUP(Table4[[#This Row],[Employee ID]],Tbl_Employee_Details[],18,FALSE)</f>
        <v>Bangalore</v>
      </c>
      <c r="G41" t="str">
        <f>VLOOKUP(Table4[[#This Row],[Employee ID]],Tbl_Emp_Onboarding[],8,FALSE)</f>
        <v>Post Graduation/Masters</v>
      </c>
    </row>
    <row r="42" spans="1:7" x14ac:dyDescent="0.3">
      <c r="A42" s="17">
        <v>107149</v>
      </c>
      <c r="B42" t="str">
        <f>VLOOKUP(Table4[[#This Row],[Employee ID]],Tbl_Employee_Details[],4,0)</f>
        <v>Female</v>
      </c>
      <c r="C42" t="str">
        <f>VLOOKUP(Table4[[#This Row],[Employee ID]],Tbl_Employee_Details[],7,)</f>
        <v>Honduras</v>
      </c>
      <c r="D42" t="str">
        <f>VLOOKUP(Table4[[#This Row],[Employee ID]],Tbl_Employee_Details[],17,FALSE)</f>
        <v>HR</v>
      </c>
      <c r="E42" s="6">
        <f ca="1">VLOOKUP(Table4[[#This Row],[Employee ID]],Tbl_Employee_Details[],16,FALSE)</f>
        <v>40.536111111111111</v>
      </c>
      <c r="F42" t="str">
        <f>VLOOKUP(Table4[[#This Row],[Employee ID]],Tbl_Employee_Details[],18,FALSE)</f>
        <v>Paris</v>
      </c>
      <c r="G42" t="str">
        <f>VLOOKUP(Table4[[#This Row],[Employee ID]],Tbl_Emp_Onboarding[],8,FALSE)</f>
        <v>Graduation/Bachelors</v>
      </c>
    </row>
    <row r="43" spans="1:7" x14ac:dyDescent="0.3">
      <c r="A43" s="17">
        <v>103337</v>
      </c>
      <c r="B43" t="str">
        <f>VLOOKUP(Table4[[#This Row],[Employee ID]],Tbl_Employee_Details[],4,0)</f>
        <v>Female</v>
      </c>
      <c r="C43" t="str">
        <f>VLOOKUP(Table4[[#This Row],[Employee ID]],Tbl_Employee_Details[],7,)</f>
        <v>Colombia</v>
      </c>
      <c r="D43" t="str">
        <f>VLOOKUP(Table4[[#This Row],[Employee ID]],Tbl_Employee_Details[],17,FALSE)</f>
        <v>Finance</v>
      </c>
      <c r="E43" s="6">
        <f ca="1">VLOOKUP(Table4[[#This Row],[Employee ID]],Tbl_Employee_Details[],16,FALSE)</f>
        <v>18.511111111111113</v>
      </c>
      <c r="F43" t="str">
        <f>VLOOKUP(Table4[[#This Row],[Employee ID]],Tbl_Employee_Details[],18,FALSE)</f>
        <v>Dubai</v>
      </c>
      <c r="G43" t="str">
        <f>VLOOKUP(Table4[[#This Row],[Employee ID]],Tbl_Emp_Onboarding[],8,FALSE)</f>
        <v>Post Graduation/Masters</v>
      </c>
    </row>
    <row r="44" spans="1:7" x14ac:dyDescent="0.3">
      <c r="A44" s="17">
        <v>106089</v>
      </c>
      <c r="B44" t="str">
        <f>VLOOKUP(Table4[[#This Row],[Employee ID]],Tbl_Employee_Details[],4,0)</f>
        <v>Male</v>
      </c>
      <c r="C44" t="str">
        <f>VLOOKUP(Table4[[#This Row],[Employee ID]],Tbl_Employee_Details[],7,)</f>
        <v>Indonesia</v>
      </c>
      <c r="D44" t="str">
        <f>VLOOKUP(Table4[[#This Row],[Employee ID]],Tbl_Employee_Details[],17,FALSE)</f>
        <v>HR</v>
      </c>
      <c r="E44" s="6">
        <f ca="1">VLOOKUP(Table4[[#This Row],[Employee ID]],Tbl_Employee_Details[],16,FALSE)</f>
        <v>28.758333333333333</v>
      </c>
      <c r="F44" t="str">
        <f>VLOOKUP(Table4[[#This Row],[Employee ID]],Tbl_Employee_Details[],18,FALSE)</f>
        <v>Toulouse</v>
      </c>
      <c r="G44" t="str">
        <f>VLOOKUP(Table4[[#This Row],[Employee ID]],Tbl_Emp_Onboarding[],8,FALSE)</f>
        <v>Student</v>
      </c>
    </row>
    <row r="45" spans="1:7" x14ac:dyDescent="0.3">
      <c r="A45" s="17">
        <v>102817</v>
      </c>
      <c r="B45" t="str">
        <f>VLOOKUP(Table4[[#This Row],[Employee ID]],Tbl_Employee_Details[],4,0)</f>
        <v>Female</v>
      </c>
      <c r="C45" t="str">
        <f>VLOOKUP(Table4[[#This Row],[Employee ID]],Tbl_Employee_Details[],7,)</f>
        <v>China</v>
      </c>
      <c r="D45" t="str">
        <f>VLOOKUP(Table4[[#This Row],[Employee ID]],Tbl_Employee_Details[],17,FALSE)</f>
        <v>HR</v>
      </c>
      <c r="E45" s="6">
        <f ca="1">VLOOKUP(Table4[[#This Row],[Employee ID]],Tbl_Employee_Details[],16,FALSE)</f>
        <v>30.511111111111113</v>
      </c>
      <c r="F45" t="str">
        <f>VLOOKUP(Table4[[#This Row],[Employee ID]],Tbl_Employee_Details[],18,FALSE)</f>
        <v>Mumbai</v>
      </c>
      <c r="G45" t="str">
        <f>VLOOKUP(Table4[[#This Row],[Employee ID]],Tbl_Emp_Onboarding[],8,FALSE)</f>
        <v>Undergrad</v>
      </c>
    </row>
    <row r="46" spans="1:7" x14ac:dyDescent="0.3">
      <c r="A46" s="17">
        <v>102471</v>
      </c>
      <c r="B46" t="str">
        <f>VLOOKUP(Table4[[#This Row],[Employee ID]],Tbl_Employee_Details[],4,0)</f>
        <v>Female</v>
      </c>
      <c r="C46" t="str">
        <f>VLOOKUP(Table4[[#This Row],[Employee ID]],Tbl_Employee_Details[],7,)</f>
        <v>India</v>
      </c>
      <c r="D46" t="str">
        <f>VLOOKUP(Table4[[#This Row],[Employee ID]],Tbl_Employee_Details[],17,FALSE)</f>
        <v>HR</v>
      </c>
      <c r="E46" s="6">
        <f ca="1">VLOOKUP(Table4[[#This Row],[Employee ID]],Tbl_Employee_Details[],16,FALSE)</f>
        <v>42.43611111111111</v>
      </c>
      <c r="F46" t="str">
        <f>VLOOKUP(Table4[[#This Row],[Employee ID]],Tbl_Employee_Details[],18,FALSE)</f>
        <v>Dubai</v>
      </c>
      <c r="G46" t="str">
        <f>VLOOKUP(Table4[[#This Row],[Employee ID]],Tbl_Emp_Onboarding[],8,FALSE)</f>
        <v>Student</v>
      </c>
    </row>
    <row r="47" spans="1:7" x14ac:dyDescent="0.3">
      <c r="A47" s="17">
        <v>102200</v>
      </c>
      <c r="B47" t="str">
        <f>VLOOKUP(Table4[[#This Row],[Employee ID]],Tbl_Employee_Details[],4,0)</f>
        <v>Female</v>
      </c>
      <c r="C47" t="str">
        <f>VLOOKUP(Table4[[#This Row],[Employee ID]],Tbl_Employee_Details[],7,)</f>
        <v>India</v>
      </c>
      <c r="D47" t="str">
        <f>VLOOKUP(Table4[[#This Row],[Employee ID]],Tbl_Employee_Details[],17,FALSE)</f>
        <v>HR</v>
      </c>
      <c r="E47" s="6">
        <f ca="1">VLOOKUP(Table4[[#This Row],[Employee ID]],Tbl_Employee_Details[],16,FALSE)</f>
        <v>29.769444444444446</v>
      </c>
      <c r="F47" t="str">
        <f>VLOOKUP(Table4[[#This Row],[Employee ID]],Tbl_Employee_Details[],18,FALSE)</f>
        <v>Mumbai</v>
      </c>
      <c r="G47" t="str">
        <f>VLOOKUP(Table4[[#This Row],[Employee ID]],Tbl_Emp_Onboarding[],8,FALSE)</f>
        <v>Student</v>
      </c>
    </row>
    <row r="48" spans="1:7" x14ac:dyDescent="0.3">
      <c r="A48" s="17">
        <v>107927</v>
      </c>
      <c r="B48" t="str">
        <f>VLOOKUP(Table4[[#This Row],[Employee ID]],Tbl_Employee_Details[],4,0)</f>
        <v>Male</v>
      </c>
      <c r="C48" t="str">
        <f>VLOOKUP(Table4[[#This Row],[Employee ID]],Tbl_Employee_Details[],7,)</f>
        <v>Ukraine</v>
      </c>
      <c r="D48" t="str">
        <f>VLOOKUP(Table4[[#This Row],[Employee ID]],Tbl_Employee_Details[],17,FALSE)</f>
        <v>HR</v>
      </c>
      <c r="E48" s="6">
        <f ca="1">VLOOKUP(Table4[[#This Row],[Employee ID]],Tbl_Employee_Details[],16,FALSE)</f>
        <v>38.080555555555556</v>
      </c>
      <c r="F48" t="str">
        <f>VLOOKUP(Table4[[#This Row],[Employee ID]],Tbl_Employee_Details[],18,FALSE)</f>
        <v>Bangalore</v>
      </c>
      <c r="G48" t="str">
        <f>VLOOKUP(Table4[[#This Row],[Employee ID]],Tbl_Emp_Onboarding[],8,FALSE)</f>
        <v>Undergrad</v>
      </c>
    </row>
    <row r="49" spans="1:7" x14ac:dyDescent="0.3">
      <c r="A49" s="17">
        <v>103988</v>
      </c>
      <c r="B49" t="str">
        <f>VLOOKUP(Table4[[#This Row],[Employee ID]],Tbl_Employee_Details[],4,0)</f>
        <v>Female</v>
      </c>
      <c r="C49" t="str">
        <f>VLOOKUP(Table4[[#This Row],[Employee ID]],Tbl_Employee_Details[],7,)</f>
        <v>Armenia</v>
      </c>
      <c r="D49" t="str">
        <f>VLOOKUP(Table4[[#This Row],[Employee ID]],Tbl_Employee_Details[],17,FALSE)</f>
        <v>HR</v>
      </c>
      <c r="E49" s="6">
        <f ca="1">VLOOKUP(Table4[[#This Row],[Employee ID]],Tbl_Employee_Details[],16,FALSE)</f>
        <v>30.047222222222221</v>
      </c>
      <c r="F49" t="str">
        <f>VLOOKUP(Table4[[#This Row],[Employee ID]],Tbl_Employee_Details[],18,FALSE)</f>
        <v>Bangalore</v>
      </c>
      <c r="G49" t="str">
        <f>VLOOKUP(Table4[[#This Row],[Employee ID]],Tbl_Emp_Onboarding[],8,FALSE)</f>
        <v>Undergrad</v>
      </c>
    </row>
    <row r="50" spans="1:7" x14ac:dyDescent="0.3">
      <c r="A50" s="17">
        <v>102641</v>
      </c>
      <c r="B50" t="str">
        <f>VLOOKUP(Table4[[#This Row],[Employee ID]],Tbl_Employee_Details[],4,0)</f>
        <v>Female</v>
      </c>
      <c r="C50" t="str">
        <f>VLOOKUP(Table4[[#This Row],[Employee ID]],Tbl_Employee_Details[],7,)</f>
        <v>Indonesia</v>
      </c>
      <c r="D50" t="str">
        <f>VLOOKUP(Table4[[#This Row],[Employee ID]],Tbl_Employee_Details[],17,FALSE)</f>
        <v>HR</v>
      </c>
      <c r="E50" s="6">
        <f ca="1">VLOOKUP(Table4[[#This Row],[Employee ID]],Tbl_Employee_Details[],16,FALSE)</f>
        <v>20.594444444444445</v>
      </c>
      <c r="F50" t="str">
        <f>VLOOKUP(Table4[[#This Row],[Employee ID]],Tbl_Employee_Details[],18,FALSE)</f>
        <v>Bangalore</v>
      </c>
      <c r="G50" t="str">
        <f>VLOOKUP(Table4[[#This Row],[Employee ID]],Tbl_Emp_Onboarding[],8,FALSE)</f>
        <v>Graduation/Bachelors</v>
      </c>
    </row>
    <row r="51" spans="1:7" x14ac:dyDescent="0.3">
      <c r="A51" s="17">
        <v>105108</v>
      </c>
      <c r="B51" t="str">
        <f>VLOOKUP(Table4[[#This Row],[Employee ID]],Tbl_Employee_Details[],4,0)</f>
        <v>Male</v>
      </c>
      <c r="C51" t="str">
        <f>VLOOKUP(Table4[[#This Row],[Employee ID]],Tbl_Employee_Details[],7,)</f>
        <v>Colombia</v>
      </c>
      <c r="D51" t="str">
        <f>VLOOKUP(Table4[[#This Row],[Employee ID]],Tbl_Employee_Details[],17,FALSE)</f>
        <v>HR</v>
      </c>
      <c r="E51" s="6">
        <f ca="1">VLOOKUP(Table4[[#This Row],[Employee ID]],Tbl_Employee_Details[],16,FALSE)</f>
        <v>20.416666666666668</v>
      </c>
      <c r="F51" t="str">
        <f>VLOOKUP(Table4[[#This Row],[Employee ID]],Tbl_Employee_Details[],18,FALSE)</f>
        <v>Bangalore</v>
      </c>
      <c r="G51" t="str">
        <f>VLOOKUP(Table4[[#This Row],[Employee ID]],Tbl_Emp_Onboarding[],8,FALSE)</f>
        <v>Student</v>
      </c>
    </row>
    <row r="52" spans="1:7" x14ac:dyDescent="0.3">
      <c r="A52" s="17">
        <v>102988</v>
      </c>
      <c r="B52" t="str">
        <f>VLOOKUP(Table4[[#This Row],[Employee ID]],Tbl_Employee_Details[],4,0)</f>
        <v>Female</v>
      </c>
      <c r="C52" t="str">
        <f>VLOOKUP(Table4[[#This Row],[Employee ID]],Tbl_Employee_Details[],7,)</f>
        <v>Cameroon</v>
      </c>
      <c r="D52" t="str">
        <f>VLOOKUP(Table4[[#This Row],[Employee ID]],Tbl_Employee_Details[],17,FALSE)</f>
        <v>Finance</v>
      </c>
      <c r="E52" s="6">
        <f ca="1">VLOOKUP(Table4[[#This Row],[Employee ID]],Tbl_Employee_Details[],16,FALSE)</f>
        <v>29.277777777777779</v>
      </c>
      <c r="F52" t="str">
        <f>VLOOKUP(Table4[[#This Row],[Employee ID]],Tbl_Employee_Details[],18,FALSE)</f>
        <v>California</v>
      </c>
      <c r="G52" t="str">
        <f>VLOOKUP(Table4[[#This Row],[Employee ID]],Tbl_Emp_Onboarding[],8,FALSE)</f>
        <v>Graduation/Bachelors</v>
      </c>
    </row>
    <row r="53" spans="1:7" x14ac:dyDescent="0.3">
      <c r="A53" s="17">
        <v>106839</v>
      </c>
      <c r="B53" t="str">
        <f>VLOOKUP(Table4[[#This Row],[Employee ID]],Tbl_Employee_Details[],4,0)</f>
        <v>Male</v>
      </c>
      <c r="C53" t="str">
        <f>VLOOKUP(Table4[[#This Row],[Employee ID]],Tbl_Employee_Details[],7,)</f>
        <v>France</v>
      </c>
      <c r="D53" t="str">
        <f>VLOOKUP(Table4[[#This Row],[Employee ID]],Tbl_Employee_Details[],17,FALSE)</f>
        <v>Finance</v>
      </c>
      <c r="E53" s="6">
        <f ca="1">VLOOKUP(Table4[[#This Row],[Employee ID]],Tbl_Employee_Details[],16,FALSE)</f>
        <v>20.43611111111111</v>
      </c>
      <c r="F53" t="str">
        <f>VLOOKUP(Table4[[#This Row],[Employee ID]],Tbl_Employee_Details[],18,FALSE)</f>
        <v>Mumbai</v>
      </c>
      <c r="G53" t="str">
        <f>VLOOKUP(Table4[[#This Row],[Employee ID]],Tbl_Emp_Onboarding[],8,FALSE)</f>
        <v>Student</v>
      </c>
    </row>
    <row r="54" spans="1:7" x14ac:dyDescent="0.3">
      <c r="A54" s="17">
        <v>102987</v>
      </c>
      <c r="B54" t="str">
        <f>VLOOKUP(Table4[[#This Row],[Employee ID]],Tbl_Employee_Details[],4,0)</f>
        <v>Male</v>
      </c>
      <c r="C54" t="str">
        <f>VLOOKUP(Table4[[#This Row],[Employee ID]],Tbl_Employee_Details[],7,)</f>
        <v>Ukraine</v>
      </c>
      <c r="D54" t="str">
        <f>VLOOKUP(Table4[[#This Row],[Employee ID]],Tbl_Employee_Details[],17,FALSE)</f>
        <v>Finance</v>
      </c>
      <c r="E54" s="6">
        <f ca="1">VLOOKUP(Table4[[#This Row],[Employee ID]],Tbl_Employee_Details[],16,FALSE)</f>
        <v>22.138888888888889</v>
      </c>
      <c r="F54" t="str">
        <f>VLOOKUP(Table4[[#This Row],[Employee ID]],Tbl_Employee_Details[],18,FALSE)</f>
        <v>California</v>
      </c>
      <c r="G54" t="str">
        <f>VLOOKUP(Table4[[#This Row],[Employee ID]],Tbl_Emp_Onboarding[],8,FALSE)</f>
        <v>NA</v>
      </c>
    </row>
    <row r="55" spans="1:7" x14ac:dyDescent="0.3">
      <c r="A55" s="17">
        <v>105840</v>
      </c>
      <c r="B55" t="str">
        <f>VLOOKUP(Table4[[#This Row],[Employee ID]],Tbl_Employee_Details[],4,0)</f>
        <v>Male</v>
      </c>
      <c r="C55" t="str">
        <f>VLOOKUP(Table4[[#This Row],[Employee ID]],Tbl_Employee_Details[],7,)</f>
        <v>Costa Rica</v>
      </c>
      <c r="D55" t="str">
        <f>VLOOKUP(Table4[[#This Row],[Employee ID]],Tbl_Employee_Details[],17,FALSE)</f>
        <v>Finance</v>
      </c>
      <c r="E55" s="6">
        <f ca="1">VLOOKUP(Table4[[#This Row],[Employee ID]],Tbl_Employee_Details[],16,FALSE)</f>
        <v>44.174999999999997</v>
      </c>
      <c r="F55" t="str">
        <f>VLOOKUP(Table4[[#This Row],[Employee ID]],Tbl_Employee_Details[],18,FALSE)</f>
        <v>Mumbai</v>
      </c>
      <c r="G55" t="str">
        <f>VLOOKUP(Table4[[#This Row],[Employee ID]],Tbl_Emp_Onboarding[],8,FALSE)</f>
        <v>Undergrad</v>
      </c>
    </row>
    <row r="56" spans="1:7" x14ac:dyDescent="0.3">
      <c r="A56" s="17">
        <v>107461</v>
      </c>
      <c r="B56" t="str">
        <f>VLOOKUP(Table4[[#This Row],[Employee ID]],Tbl_Employee_Details[],4,0)</f>
        <v>Female</v>
      </c>
      <c r="C56" t="str">
        <f>VLOOKUP(Table4[[#This Row],[Employee ID]],Tbl_Employee_Details[],7,)</f>
        <v>Chile</v>
      </c>
      <c r="D56" t="str">
        <f>VLOOKUP(Table4[[#This Row],[Employee ID]],Tbl_Employee_Details[],17,FALSE)</f>
        <v>Finance</v>
      </c>
      <c r="E56" s="6">
        <f ca="1">VLOOKUP(Table4[[#This Row],[Employee ID]],Tbl_Employee_Details[],16,FALSE)</f>
        <v>26.619444444444444</v>
      </c>
      <c r="F56" t="str">
        <f>VLOOKUP(Table4[[#This Row],[Employee ID]],Tbl_Employee_Details[],18,FALSE)</f>
        <v>New York</v>
      </c>
      <c r="G56" t="str">
        <f>VLOOKUP(Table4[[#This Row],[Employee ID]],Tbl_Emp_Onboarding[],8,FALSE)</f>
        <v>Student</v>
      </c>
    </row>
    <row r="57" spans="1:7" x14ac:dyDescent="0.3">
      <c r="A57" s="17">
        <v>106009</v>
      </c>
      <c r="B57" t="str">
        <f>VLOOKUP(Table4[[#This Row],[Employee ID]],Tbl_Employee_Details[],4,0)</f>
        <v>Female</v>
      </c>
      <c r="C57" t="str">
        <f>VLOOKUP(Table4[[#This Row],[Employee ID]],Tbl_Employee_Details[],7,)</f>
        <v>India</v>
      </c>
      <c r="D57" t="str">
        <f>VLOOKUP(Table4[[#This Row],[Employee ID]],Tbl_Employee_Details[],17,FALSE)</f>
        <v>Sales</v>
      </c>
      <c r="E57" s="6">
        <f ca="1">VLOOKUP(Table4[[#This Row],[Employee ID]],Tbl_Employee_Details[],16,FALSE)</f>
        <v>19.691666666666666</v>
      </c>
      <c r="F57" t="str">
        <f>VLOOKUP(Table4[[#This Row],[Employee ID]],Tbl_Employee_Details[],18,FALSE)</f>
        <v>Mumbai</v>
      </c>
      <c r="G57" t="str">
        <f>VLOOKUP(Table4[[#This Row],[Employee ID]],Tbl_Emp_Onboarding[],8,FALSE)</f>
        <v>PHD</v>
      </c>
    </row>
    <row r="58" spans="1:7" x14ac:dyDescent="0.3">
      <c r="A58" s="17">
        <v>105007</v>
      </c>
      <c r="B58" t="str">
        <f>VLOOKUP(Table4[[#This Row],[Employee ID]],Tbl_Employee_Details[],4,0)</f>
        <v>Male</v>
      </c>
      <c r="C58" t="str">
        <f>VLOOKUP(Table4[[#This Row],[Employee ID]],Tbl_Employee_Details[],7,)</f>
        <v>Indonesia</v>
      </c>
      <c r="D58" t="str">
        <f>VLOOKUP(Table4[[#This Row],[Employee ID]],Tbl_Employee_Details[],17,FALSE)</f>
        <v>Finance</v>
      </c>
      <c r="E58" s="6">
        <f ca="1">VLOOKUP(Table4[[#This Row],[Employee ID]],Tbl_Employee_Details[],16,FALSE)</f>
        <v>24.083333333333332</v>
      </c>
      <c r="F58" t="str">
        <f>VLOOKUP(Table4[[#This Row],[Employee ID]],Tbl_Employee_Details[],18,FALSE)</f>
        <v>Toulouse</v>
      </c>
      <c r="G58" t="str">
        <f>VLOOKUP(Table4[[#This Row],[Employee ID]],Tbl_Emp_Onboarding[],8,FALSE)</f>
        <v>Graduation/Bachelors</v>
      </c>
    </row>
    <row r="59" spans="1:7" x14ac:dyDescent="0.3">
      <c r="A59" s="17">
        <v>103947</v>
      </c>
      <c r="B59" t="str">
        <f>VLOOKUP(Table4[[#This Row],[Employee ID]],Tbl_Employee_Details[],4,0)</f>
        <v>Male</v>
      </c>
      <c r="C59" t="str">
        <f>VLOOKUP(Table4[[#This Row],[Employee ID]],Tbl_Employee_Details[],7,)</f>
        <v>Syria</v>
      </c>
      <c r="D59" t="str">
        <f>VLOOKUP(Table4[[#This Row],[Employee ID]],Tbl_Employee_Details[],17,FALSE)</f>
        <v>Finance</v>
      </c>
      <c r="E59" s="6">
        <f ca="1">VLOOKUP(Table4[[#This Row],[Employee ID]],Tbl_Employee_Details[],16,FALSE)</f>
        <v>20.622222222222224</v>
      </c>
      <c r="F59" t="str">
        <f>VLOOKUP(Table4[[#This Row],[Employee ID]],Tbl_Employee_Details[],18,FALSE)</f>
        <v>London</v>
      </c>
      <c r="G59" t="str">
        <f>VLOOKUP(Table4[[#This Row],[Employee ID]],Tbl_Emp_Onboarding[],8,FALSE)</f>
        <v>NA</v>
      </c>
    </row>
    <row r="60" spans="1:7" x14ac:dyDescent="0.3">
      <c r="A60" s="17">
        <v>105841</v>
      </c>
      <c r="B60" t="str">
        <f>VLOOKUP(Table4[[#This Row],[Employee ID]],Tbl_Employee_Details[],4,0)</f>
        <v>Male</v>
      </c>
      <c r="C60" t="str">
        <f>VLOOKUP(Table4[[#This Row],[Employee ID]],Tbl_Employee_Details[],7,)</f>
        <v>Peru</v>
      </c>
      <c r="D60" t="str">
        <f>VLOOKUP(Table4[[#This Row],[Employee ID]],Tbl_Employee_Details[],17,FALSE)</f>
        <v>Finance</v>
      </c>
      <c r="E60" s="6">
        <f ca="1">VLOOKUP(Table4[[#This Row],[Employee ID]],Tbl_Employee_Details[],16,FALSE)</f>
        <v>26.572222222222223</v>
      </c>
      <c r="F60" t="str">
        <f>VLOOKUP(Table4[[#This Row],[Employee ID]],Tbl_Employee_Details[],18,FALSE)</f>
        <v>New York</v>
      </c>
      <c r="G60" t="str">
        <f>VLOOKUP(Table4[[#This Row],[Employee ID]],Tbl_Emp_Onboarding[],8,FALSE)</f>
        <v>Student</v>
      </c>
    </row>
    <row r="61" spans="1:7" x14ac:dyDescent="0.3">
      <c r="A61" s="17">
        <v>107409</v>
      </c>
      <c r="B61" t="str">
        <f>VLOOKUP(Table4[[#This Row],[Employee ID]],Tbl_Employee_Details[],4,0)</f>
        <v>Female</v>
      </c>
      <c r="C61" t="str">
        <f>VLOOKUP(Table4[[#This Row],[Employee ID]],Tbl_Employee_Details[],7,)</f>
        <v>Czech Republic</v>
      </c>
      <c r="D61" t="str">
        <f>VLOOKUP(Table4[[#This Row],[Employee ID]],Tbl_Employee_Details[],17,FALSE)</f>
        <v>Finance</v>
      </c>
      <c r="E61" s="6">
        <f ca="1">VLOOKUP(Table4[[#This Row],[Employee ID]],Tbl_Employee_Details[],16,FALSE)</f>
        <v>34.347222222222221</v>
      </c>
      <c r="F61" t="str">
        <f>VLOOKUP(Table4[[#This Row],[Employee ID]],Tbl_Employee_Details[],18,FALSE)</f>
        <v>Paris</v>
      </c>
      <c r="G61" t="str">
        <f>VLOOKUP(Table4[[#This Row],[Employee ID]],Tbl_Emp_Onboarding[],8,FALSE)</f>
        <v>Graduation/Bachelors</v>
      </c>
    </row>
    <row r="62" spans="1:7" x14ac:dyDescent="0.3">
      <c r="A62" s="17">
        <v>102352</v>
      </c>
      <c r="B62" t="str">
        <f>VLOOKUP(Table4[[#This Row],[Employee ID]],Tbl_Employee_Details[],4,0)</f>
        <v>Female</v>
      </c>
      <c r="C62" t="str">
        <f>VLOOKUP(Table4[[#This Row],[Employee ID]],Tbl_Employee_Details[],7,)</f>
        <v>Colombia</v>
      </c>
      <c r="D62" t="str">
        <f>VLOOKUP(Table4[[#This Row],[Employee ID]],Tbl_Employee_Details[],17,FALSE)</f>
        <v>Purchasing</v>
      </c>
      <c r="E62" s="6">
        <f ca="1">VLOOKUP(Table4[[#This Row],[Employee ID]],Tbl_Employee_Details[],16,FALSE)</f>
        <v>19.43611111111111</v>
      </c>
      <c r="F62" t="str">
        <f>VLOOKUP(Table4[[#This Row],[Employee ID]],Tbl_Employee_Details[],18,FALSE)</f>
        <v>California</v>
      </c>
      <c r="G62" t="str">
        <f>VLOOKUP(Table4[[#This Row],[Employee ID]],Tbl_Emp_Onboarding[],8,FALSE)</f>
        <v>Graduation/Bachelors</v>
      </c>
    </row>
    <row r="63" spans="1:7" x14ac:dyDescent="0.3">
      <c r="A63" s="17">
        <v>104902</v>
      </c>
      <c r="B63" t="str">
        <f>VLOOKUP(Table4[[#This Row],[Employee ID]],Tbl_Employee_Details[],4,0)</f>
        <v>Male</v>
      </c>
      <c r="C63" t="str">
        <f>VLOOKUP(Table4[[#This Row],[Employee ID]],Tbl_Employee_Details[],7,)</f>
        <v>Canada</v>
      </c>
      <c r="D63" t="str">
        <f>VLOOKUP(Table4[[#This Row],[Employee ID]],Tbl_Employee_Details[],17,FALSE)</f>
        <v>Purchasing</v>
      </c>
      <c r="E63" s="6">
        <f ca="1">VLOOKUP(Table4[[#This Row],[Employee ID]],Tbl_Employee_Details[],16,FALSE)</f>
        <v>31.791666666666668</v>
      </c>
      <c r="F63" t="str">
        <f>VLOOKUP(Table4[[#This Row],[Employee ID]],Tbl_Employee_Details[],18,FALSE)</f>
        <v>California</v>
      </c>
      <c r="G63" t="str">
        <f>VLOOKUP(Table4[[#This Row],[Employee ID]],Tbl_Emp_Onboarding[],8,FALSE)</f>
        <v>Student</v>
      </c>
    </row>
    <row r="64" spans="1:7" x14ac:dyDescent="0.3">
      <c r="A64" s="17">
        <v>105086</v>
      </c>
      <c r="B64" t="str">
        <f>VLOOKUP(Table4[[#This Row],[Employee ID]],Tbl_Employee_Details[],4,0)</f>
        <v>Male</v>
      </c>
      <c r="C64" t="str">
        <f>VLOOKUP(Table4[[#This Row],[Employee ID]],Tbl_Employee_Details[],7,)</f>
        <v>Norway</v>
      </c>
      <c r="D64" t="str">
        <f>VLOOKUP(Table4[[#This Row],[Employee ID]],Tbl_Employee_Details[],17,FALSE)</f>
        <v>Purchasing</v>
      </c>
      <c r="E64" s="6">
        <f ca="1">VLOOKUP(Table4[[#This Row],[Employee ID]],Tbl_Employee_Details[],16,FALSE)</f>
        <v>44.708333333333336</v>
      </c>
      <c r="F64" t="str">
        <f>VLOOKUP(Table4[[#This Row],[Employee ID]],Tbl_Employee_Details[],18,FALSE)</f>
        <v>New York</v>
      </c>
      <c r="G64" t="str">
        <f>VLOOKUP(Table4[[#This Row],[Employee ID]],Tbl_Emp_Onboarding[],8,FALSE)</f>
        <v>NA</v>
      </c>
    </row>
    <row r="65" spans="1:7" x14ac:dyDescent="0.3">
      <c r="A65" s="17">
        <v>105125</v>
      </c>
      <c r="B65" t="str">
        <f>VLOOKUP(Table4[[#This Row],[Employee ID]],Tbl_Employee_Details[],4,0)</f>
        <v>Male</v>
      </c>
      <c r="C65" t="str">
        <f>VLOOKUP(Table4[[#This Row],[Employee ID]],Tbl_Employee_Details[],7,)</f>
        <v>Bangladesh</v>
      </c>
      <c r="D65" t="str">
        <f>VLOOKUP(Table4[[#This Row],[Employee ID]],Tbl_Employee_Details[],17,FALSE)</f>
        <v>Purchasing</v>
      </c>
      <c r="E65" s="6">
        <f ca="1">VLOOKUP(Table4[[#This Row],[Employee ID]],Tbl_Employee_Details[],16,FALSE)</f>
        <v>23.4</v>
      </c>
      <c r="F65" t="str">
        <f>VLOOKUP(Table4[[#This Row],[Employee ID]],Tbl_Employee_Details[],18,FALSE)</f>
        <v>Dubai</v>
      </c>
      <c r="G65" t="str">
        <f>VLOOKUP(Table4[[#This Row],[Employee ID]],Tbl_Emp_Onboarding[],8,FALSE)</f>
        <v>Undergrad</v>
      </c>
    </row>
    <row r="66" spans="1:7" x14ac:dyDescent="0.3">
      <c r="A66" s="17">
        <v>105666</v>
      </c>
      <c r="B66" t="str">
        <f>VLOOKUP(Table4[[#This Row],[Employee ID]],Tbl_Employee_Details[],4,0)</f>
        <v>Male</v>
      </c>
      <c r="C66" t="str">
        <f>VLOOKUP(Table4[[#This Row],[Employee ID]],Tbl_Employee_Details[],7,)</f>
        <v>Jordan</v>
      </c>
      <c r="D66" t="str">
        <f>VLOOKUP(Table4[[#This Row],[Employee ID]],Tbl_Employee_Details[],17,FALSE)</f>
        <v>Purchasing</v>
      </c>
      <c r="E66" s="6">
        <f ca="1">VLOOKUP(Table4[[#This Row],[Employee ID]],Tbl_Employee_Details[],16,FALSE)</f>
        <v>41.85</v>
      </c>
      <c r="F66" t="str">
        <f>VLOOKUP(Table4[[#This Row],[Employee ID]],Tbl_Employee_Details[],18,FALSE)</f>
        <v>London</v>
      </c>
      <c r="G66" t="str">
        <f>VLOOKUP(Table4[[#This Row],[Employee ID]],Tbl_Emp_Onboarding[],8,FALSE)</f>
        <v>NA</v>
      </c>
    </row>
    <row r="67" spans="1:7" x14ac:dyDescent="0.3">
      <c r="A67" s="17">
        <v>107071</v>
      </c>
      <c r="B67" t="str">
        <f>VLOOKUP(Table4[[#This Row],[Employee ID]],Tbl_Employee_Details[],4,0)</f>
        <v>Male</v>
      </c>
      <c r="C67" t="str">
        <f>VLOOKUP(Table4[[#This Row],[Employee ID]],Tbl_Employee_Details[],7,)</f>
        <v>Panama</v>
      </c>
      <c r="D67" t="str">
        <f>VLOOKUP(Table4[[#This Row],[Employee ID]],Tbl_Employee_Details[],17,FALSE)</f>
        <v>Purchasing</v>
      </c>
      <c r="E67" s="6">
        <f ca="1">VLOOKUP(Table4[[#This Row],[Employee ID]],Tbl_Employee_Details[],16,FALSE)</f>
        <v>42.37222222222222</v>
      </c>
      <c r="F67" t="str">
        <f>VLOOKUP(Table4[[#This Row],[Employee ID]],Tbl_Employee_Details[],18,FALSE)</f>
        <v>Paris</v>
      </c>
      <c r="G67" t="str">
        <f>VLOOKUP(Table4[[#This Row],[Employee ID]],Tbl_Emp_Onboarding[],8,FALSE)</f>
        <v>Student</v>
      </c>
    </row>
    <row r="68" spans="1:7" x14ac:dyDescent="0.3">
      <c r="A68" s="17">
        <v>107702</v>
      </c>
      <c r="B68" t="str">
        <f>VLOOKUP(Table4[[#This Row],[Employee ID]],Tbl_Employee_Details[],4,0)</f>
        <v>Male</v>
      </c>
      <c r="C68" t="str">
        <f>VLOOKUP(Table4[[#This Row],[Employee ID]],Tbl_Employee_Details[],7,)</f>
        <v>Nepal</v>
      </c>
      <c r="D68" t="str">
        <f>VLOOKUP(Table4[[#This Row],[Employee ID]],Tbl_Employee_Details[],17,FALSE)</f>
        <v>Customer Service</v>
      </c>
      <c r="E68" s="6">
        <f ca="1">VLOOKUP(Table4[[#This Row],[Employee ID]],Tbl_Employee_Details[],16,FALSE)</f>
        <v>35.927777777777777</v>
      </c>
      <c r="F68" t="str">
        <f>VLOOKUP(Table4[[#This Row],[Employee ID]],Tbl_Employee_Details[],18,FALSE)</f>
        <v>Paris</v>
      </c>
      <c r="G68" t="str">
        <f>VLOOKUP(Table4[[#This Row],[Employee ID]],Tbl_Emp_Onboarding[],8,FALSE)</f>
        <v>PHD</v>
      </c>
    </row>
    <row r="69" spans="1:7" x14ac:dyDescent="0.3">
      <c r="A69" s="17">
        <v>105270</v>
      </c>
      <c r="B69" t="str">
        <f>VLOOKUP(Table4[[#This Row],[Employee ID]],Tbl_Employee_Details[],4,0)</f>
        <v>Male</v>
      </c>
      <c r="C69" t="str">
        <f>VLOOKUP(Table4[[#This Row],[Employee ID]],Tbl_Employee_Details[],7,)</f>
        <v>India</v>
      </c>
      <c r="D69" t="str">
        <f>VLOOKUP(Table4[[#This Row],[Employee ID]],Tbl_Employee_Details[],17,FALSE)</f>
        <v>Purchasing</v>
      </c>
      <c r="E69" s="6">
        <f ca="1">VLOOKUP(Table4[[#This Row],[Employee ID]],Tbl_Employee_Details[],16,FALSE)</f>
        <v>42.472222222222221</v>
      </c>
      <c r="F69" t="str">
        <f>VLOOKUP(Table4[[#This Row],[Employee ID]],Tbl_Employee_Details[],18,FALSE)</f>
        <v>Toulouse</v>
      </c>
      <c r="G69" t="str">
        <f>VLOOKUP(Table4[[#This Row],[Employee ID]],Tbl_Emp_Onboarding[],8,FALSE)</f>
        <v>NA</v>
      </c>
    </row>
    <row r="70" spans="1:7" x14ac:dyDescent="0.3">
      <c r="A70" s="17">
        <v>103875</v>
      </c>
      <c r="B70" t="str">
        <f>VLOOKUP(Table4[[#This Row],[Employee ID]],Tbl_Employee_Details[],4,0)</f>
        <v>Male</v>
      </c>
      <c r="C70" t="str">
        <f>VLOOKUP(Table4[[#This Row],[Employee ID]],Tbl_Employee_Details[],7,)</f>
        <v>France</v>
      </c>
      <c r="D70" t="str">
        <f>VLOOKUP(Table4[[#This Row],[Employee ID]],Tbl_Employee_Details[],17,FALSE)</f>
        <v>Purchasing</v>
      </c>
      <c r="E70" s="6">
        <f ca="1">VLOOKUP(Table4[[#This Row],[Employee ID]],Tbl_Employee_Details[],16,FALSE)</f>
        <v>23.088888888888889</v>
      </c>
      <c r="F70" t="str">
        <f>VLOOKUP(Table4[[#This Row],[Employee ID]],Tbl_Employee_Details[],18,FALSE)</f>
        <v>Dubai</v>
      </c>
      <c r="G70" t="str">
        <f>VLOOKUP(Table4[[#This Row],[Employee ID]],Tbl_Emp_Onboarding[],8,FALSE)</f>
        <v>Student</v>
      </c>
    </row>
    <row r="71" spans="1:7" x14ac:dyDescent="0.3">
      <c r="A71" s="17">
        <v>106044</v>
      </c>
      <c r="B71" t="str">
        <f>VLOOKUP(Table4[[#This Row],[Employee ID]],Tbl_Employee_Details[],4,0)</f>
        <v>Female</v>
      </c>
      <c r="C71" t="str">
        <f>VLOOKUP(Table4[[#This Row],[Employee ID]],Tbl_Employee_Details[],7,)</f>
        <v>Germany</v>
      </c>
      <c r="D71" t="str">
        <f>VLOOKUP(Table4[[#This Row],[Employee ID]],Tbl_Employee_Details[],17,FALSE)</f>
        <v>Purchasing</v>
      </c>
      <c r="E71" s="6">
        <f ca="1">VLOOKUP(Table4[[#This Row],[Employee ID]],Tbl_Employee_Details[],16,FALSE)</f>
        <v>38.447222222222223</v>
      </c>
      <c r="F71" t="str">
        <f>VLOOKUP(Table4[[#This Row],[Employee ID]],Tbl_Employee_Details[],18,FALSE)</f>
        <v>Dubai</v>
      </c>
      <c r="G71" t="str">
        <f>VLOOKUP(Table4[[#This Row],[Employee ID]],Tbl_Emp_Onboarding[],8,FALSE)</f>
        <v>Graduation/Bachelors</v>
      </c>
    </row>
    <row r="72" spans="1:7" x14ac:dyDescent="0.3">
      <c r="A72" s="17">
        <v>107235</v>
      </c>
      <c r="B72" t="str">
        <f>VLOOKUP(Table4[[#This Row],[Employee ID]],Tbl_Employee_Details[],4,0)</f>
        <v>Male</v>
      </c>
      <c r="C72" t="str">
        <f>VLOOKUP(Table4[[#This Row],[Employee ID]],Tbl_Employee_Details[],7,)</f>
        <v>Indonesia</v>
      </c>
      <c r="D72" t="str">
        <f>VLOOKUP(Table4[[#This Row],[Employee ID]],Tbl_Employee_Details[],17,FALSE)</f>
        <v>Purchasing</v>
      </c>
      <c r="E72" s="6">
        <f ca="1">VLOOKUP(Table4[[#This Row],[Employee ID]],Tbl_Employee_Details[],16,FALSE)</f>
        <v>44.144444444444446</v>
      </c>
      <c r="F72" t="str">
        <f>VLOOKUP(Table4[[#This Row],[Employee ID]],Tbl_Employee_Details[],18,FALSE)</f>
        <v>Toulouse</v>
      </c>
      <c r="G72" t="str">
        <f>VLOOKUP(Table4[[#This Row],[Employee ID]],Tbl_Emp_Onboarding[],8,FALSE)</f>
        <v>Undergrad</v>
      </c>
    </row>
    <row r="73" spans="1:7" x14ac:dyDescent="0.3">
      <c r="A73" s="17">
        <v>105180</v>
      </c>
      <c r="B73" t="str">
        <f>VLOOKUP(Table4[[#This Row],[Employee ID]],Tbl_Employee_Details[],4,0)</f>
        <v>Female</v>
      </c>
      <c r="C73" t="str">
        <f>VLOOKUP(Table4[[#This Row],[Employee ID]],Tbl_Employee_Details[],7,)</f>
        <v>India</v>
      </c>
      <c r="D73" t="str">
        <f>VLOOKUP(Table4[[#This Row],[Employee ID]],Tbl_Employee_Details[],17,FALSE)</f>
        <v>Purchasing</v>
      </c>
      <c r="E73" s="6">
        <f ca="1">VLOOKUP(Table4[[#This Row],[Employee ID]],Tbl_Employee_Details[],16,FALSE)</f>
        <v>37.358333333333334</v>
      </c>
      <c r="F73" t="str">
        <f>VLOOKUP(Table4[[#This Row],[Employee ID]],Tbl_Employee_Details[],18,FALSE)</f>
        <v>Mumbai</v>
      </c>
      <c r="G73" t="str">
        <f>VLOOKUP(Table4[[#This Row],[Employee ID]],Tbl_Emp_Onboarding[],8,FALSE)</f>
        <v>Graduation/Bachelors</v>
      </c>
    </row>
    <row r="74" spans="1:7" x14ac:dyDescent="0.3">
      <c r="A74" s="17">
        <v>105324</v>
      </c>
      <c r="B74" t="str">
        <f>VLOOKUP(Table4[[#This Row],[Employee ID]],Tbl_Employee_Details[],4,0)</f>
        <v>Female</v>
      </c>
      <c r="C74" t="str">
        <f>VLOOKUP(Table4[[#This Row],[Employee ID]],Tbl_Employee_Details[],7,)</f>
        <v>China</v>
      </c>
      <c r="D74" t="str">
        <f>VLOOKUP(Table4[[#This Row],[Employee ID]],Tbl_Employee_Details[],17,FALSE)</f>
        <v>Purchasing</v>
      </c>
      <c r="E74" s="6">
        <f ca="1">VLOOKUP(Table4[[#This Row],[Employee ID]],Tbl_Employee_Details[],16,FALSE)</f>
        <v>38.31111111111111</v>
      </c>
      <c r="F74" t="str">
        <f>VLOOKUP(Table4[[#This Row],[Employee ID]],Tbl_Employee_Details[],18,FALSE)</f>
        <v>Bangalore</v>
      </c>
      <c r="G74" t="str">
        <f>VLOOKUP(Table4[[#This Row],[Employee ID]],Tbl_Emp_Onboarding[],8,FALSE)</f>
        <v>NA</v>
      </c>
    </row>
    <row r="75" spans="1:7" x14ac:dyDescent="0.3">
      <c r="A75" s="17">
        <v>107716</v>
      </c>
      <c r="B75" t="str">
        <f>VLOOKUP(Table4[[#This Row],[Employee ID]],Tbl_Employee_Details[],4,0)</f>
        <v>Female</v>
      </c>
      <c r="C75" t="str">
        <f>VLOOKUP(Table4[[#This Row],[Employee ID]],Tbl_Employee_Details[],7,)</f>
        <v>Philippines</v>
      </c>
      <c r="D75" t="str">
        <f>VLOOKUP(Table4[[#This Row],[Employee ID]],Tbl_Employee_Details[],17,FALSE)</f>
        <v>Purchasing</v>
      </c>
      <c r="E75" s="6">
        <f ca="1">VLOOKUP(Table4[[#This Row],[Employee ID]],Tbl_Employee_Details[],16,FALSE)</f>
        <v>28.858333333333334</v>
      </c>
      <c r="F75" t="str">
        <f>VLOOKUP(Table4[[#This Row],[Employee ID]],Tbl_Employee_Details[],18,FALSE)</f>
        <v>Mumbai</v>
      </c>
      <c r="G75" t="str">
        <f>VLOOKUP(Table4[[#This Row],[Employee ID]],Tbl_Emp_Onboarding[],8,FALSE)</f>
        <v>PHD</v>
      </c>
    </row>
    <row r="76" spans="1:7" x14ac:dyDescent="0.3">
      <c r="A76" s="17">
        <v>103971</v>
      </c>
      <c r="B76" t="str">
        <f>VLOOKUP(Table4[[#This Row],[Employee ID]],Tbl_Employee_Details[],4,0)</f>
        <v>Female</v>
      </c>
      <c r="C76" t="str">
        <f>VLOOKUP(Table4[[#This Row],[Employee ID]],Tbl_Employee_Details[],7,)</f>
        <v>Chile</v>
      </c>
      <c r="D76" t="str">
        <f>VLOOKUP(Table4[[#This Row],[Employee ID]],Tbl_Employee_Details[],17,FALSE)</f>
        <v>IT &amp; Admin</v>
      </c>
      <c r="E76" s="6">
        <f ca="1">VLOOKUP(Table4[[#This Row],[Employee ID]],Tbl_Employee_Details[],16,FALSE)</f>
        <v>32.761111111111113</v>
      </c>
      <c r="F76" t="str">
        <f>VLOOKUP(Table4[[#This Row],[Employee ID]],Tbl_Employee_Details[],18,FALSE)</f>
        <v>California</v>
      </c>
      <c r="G76" t="str">
        <f>VLOOKUP(Table4[[#This Row],[Employee ID]],Tbl_Emp_Onboarding[],8,FALSE)</f>
        <v>NA</v>
      </c>
    </row>
    <row r="77" spans="1:7" x14ac:dyDescent="0.3">
      <c r="A77" s="17">
        <v>104333</v>
      </c>
      <c r="B77" t="str">
        <f>VLOOKUP(Table4[[#This Row],[Employee ID]],Tbl_Employee_Details[],4,0)</f>
        <v>Female</v>
      </c>
      <c r="C77" t="str">
        <f>VLOOKUP(Table4[[#This Row],[Employee ID]],Tbl_Employee_Details[],7,)</f>
        <v>Japan</v>
      </c>
      <c r="D77" t="str">
        <f>VLOOKUP(Table4[[#This Row],[Employee ID]],Tbl_Employee_Details[],17,FALSE)</f>
        <v>HR</v>
      </c>
      <c r="E77" s="6">
        <f ca="1">VLOOKUP(Table4[[#This Row],[Employee ID]],Tbl_Employee_Details[],16,FALSE)</f>
        <v>28.908333333333335</v>
      </c>
      <c r="F77" t="str">
        <f>VLOOKUP(Table4[[#This Row],[Employee ID]],Tbl_Employee_Details[],18,FALSE)</f>
        <v>Dubai</v>
      </c>
      <c r="G77" t="str">
        <f>VLOOKUP(Table4[[#This Row],[Employee ID]],Tbl_Emp_Onboarding[],8,FALSE)</f>
        <v>PHD</v>
      </c>
    </row>
    <row r="78" spans="1:7" x14ac:dyDescent="0.3">
      <c r="A78" s="17">
        <v>104260</v>
      </c>
      <c r="B78" t="str">
        <f>VLOOKUP(Table4[[#This Row],[Employee ID]],Tbl_Employee_Details[],4,0)</f>
        <v>Male</v>
      </c>
      <c r="C78" t="str">
        <f>VLOOKUP(Table4[[#This Row],[Employee ID]],Tbl_Employee_Details[],7,)</f>
        <v>Bosnia and Herzegovina</v>
      </c>
      <c r="D78" t="str">
        <f>VLOOKUP(Table4[[#This Row],[Employee ID]],Tbl_Employee_Details[],17,FALSE)</f>
        <v>IT &amp; Admin</v>
      </c>
      <c r="E78" s="6">
        <f ca="1">VLOOKUP(Table4[[#This Row],[Employee ID]],Tbl_Employee_Details[],16,FALSE)</f>
        <v>32.838888888888889</v>
      </c>
      <c r="F78" t="str">
        <f>VLOOKUP(Table4[[#This Row],[Employee ID]],Tbl_Employee_Details[],18,FALSE)</f>
        <v>New York</v>
      </c>
      <c r="G78" t="str">
        <f>VLOOKUP(Table4[[#This Row],[Employee ID]],Tbl_Emp_Onboarding[],8,FALSE)</f>
        <v>Graduation/Bachelors</v>
      </c>
    </row>
    <row r="79" spans="1:7" x14ac:dyDescent="0.3">
      <c r="A79" s="17">
        <v>103316</v>
      </c>
      <c r="B79" t="str">
        <f>VLOOKUP(Table4[[#This Row],[Employee ID]],Tbl_Employee_Details[],4,0)</f>
        <v>Female</v>
      </c>
      <c r="C79" t="str">
        <f>VLOOKUP(Table4[[#This Row],[Employee ID]],Tbl_Employee_Details[],7,)</f>
        <v>Brazil</v>
      </c>
      <c r="D79" t="str">
        <f>VLOOKUP(Table4[[#This Row],[Employee ID]],Tbl_Employee_Details[],17,FALSE)</f>
        <v>IT &amp; Admin</v>
      </c>
      <c r="E79" s="6">
        <f ca="1">VLOOKUP(Table4[[#This Row],[Employee ID]],Tbl_Employee_Details[],16,FALSE)</f>
        <v>43.258333333333333</v>
      </c>
      <c r="F79" t="str">
        <f>VLOOKUP(Table4[[#This Row],[Employee ID]],Tbl_Employee_Details[],18,FALSE)</f>
        <v>Bangalore</v>
      </c>
      <c r="G79" t="str">
        <f>VLOOKUP(Table4[[#This Row],[Employee ID]],Tbl_Emp_Onboarding[],8,FALSE)</f>
        <v>Graduation/Bachelors</v>
      </c>
    </row>
    <row r="80" spans="1:7" x14ac:dyDescent="0.3">
      <c r="A80" s="17">
        <v>103686</v>
      </c>
      <c r="B80" t="str">
        <f>VLOOKUP(Table4[[#This Row],[Employee ID]],Tbl_Employee_Details[],4,0)</f>
        <v>Female</v>
      </c>
      <c r="C80" t="str">
        <f>VLOOKUP(Table4[[#This Row],[Employee ID]],Tbl_Employee_Details[],7,)</f>
        <v>Vietnam</v>
      </c>
      <c r="D80" t="str">
        <f>VLOOKUP(Table4[[#This Row],[Employee ID]],Tbl_Employee_Details[],17,FALSE)</f>
        <v>HR</v>
      </c>
      <c r="E80" s="6">
        <f ca="1">VLOOKUP(Table4[[#This Row],[Employee ID]],Tbl_Employee_Details[],16,FALSE)</f>
        <v>36.397222222222226</v>
      </c>
      <c r="F80" t="str">
        <f>VLOOKUP(Table4[[#This Row],[Employee ID]],Tbl_Employee_Details[],18,FALSE)</f>
        <v>Mumbai</v>
      </c>
      <c r="G80" t="str">
        <f>VLOOKUP(Table4[[#This Row],[Employee ID]],Tbl_Emp_Onboarding[],8,FALSE)</f>
        <v>Post Graduation/Masters</v>
      </c>
    </row>
    <row r="81" spans="1:7" x14ac:dyDescent="0.3">
      <c r="A81" s="17">
        <v>105780</v>
      </c>
      <c r="B81" t="str">
        <f>VLOOKUP(Table4[[#This Row],[Employee ID]],Tbl_Employee_Details[],4,0)</f>
        <v>Female</v>
      </c>
      <c r="C81" t="str">
        <f>VLOOKUP(Table4[[#This Row],[Employee ID]],Tbl_Employee_Details[],7,)</f>
        <v>Indonesia</v>
      </c>
      <c r="D81" t="str">
        <f>VLOOKUP(Table4[[#This Row],[Employee ID]],Tbl_Employee_Details[],17,FALSE)</f>
        <v>Sales</v>
      </c>
      <c r="E81" s="6">
        <f ca="1">VLOOKUP(Table4[[#This Row],[Employee ID]],Tbl_Employee_Details[],16,FALSE)</f>
        <v>39.969444444444441</v>
      </c>
      <c r="F81" t="str">
        <f>VLOOKUP(Table4[[#This Row],[Employee ID]],Tbl_Employee_Details[],18,FALSE)</f>
        <v>Paris</v>
      </c>
      <c r="G81" t="str">
        <f>VLOOKUP(Table4[[#This Row],[Employee ID]],Tbl_Emp_Onboarding[],8,FALSE)</f>
        <v>Post Graduation/Masters</v>
      </c>
    </row>
    <row r="82" spans="1:7" x14ac:dyDescent="0.3">
      <c r="A82" s="17">
        <v>102704</v>
      </c>
      <c r="B82" t="str">
        <f>VLOOKUP(Table4[[#This Row],[Employee ID]],Tbl_Employee_Details[],4,0)</f>
        <v>Male</v>
      </c>
      <c r="C82" t="str">
        <f>VLOOKUP(Table4[[#This Row],[Employee ID]],Tbl_Employee_Details[],7,)</f>
        <v>Bosnia and Herzegovina</v>
      </c>
      <c r="D82" t="str">
        <f>VLOOKUP(Table4[[#This Row],[Employee ID]],Tbl_Employee_Details[],17,FALSE)</f>
        <v>IT &amp; Admin</v>
      </c>
      <c r="E82" s="6">
        <f ca="1">VLOOKUP(Table4[[#This Row],[Employee ID]],Tbl_Employee_Details[],16,FALSE)</f>
        <v>37.108333333333334</v>
      </c>
      <c r="F82" t="str">
        <f>VLOOKUP(Table4[[#This Row],[Employee ID]],Tbl_Employee_Details[],18,FALSE)</f>
        <v>Toulouse</v>
      </c>
      <c r="G82" t="str">
        <f>VLOOKUP(Table4[[#This Row],[Employee ID]],Tbl_Emp_Onboarding[],8,FALSE)</f>
        <v>NA</v>
      </c>
    </row>
    <row r="83" spans="1:7" x14ac:dyDescent="0.3">
      <c r="A83" s="17">
        <v>104016</v>
      </c>
      <c r="B83" t="str">
        <f>VLOOKUP(Table4[[#This Row],[Employee ID]],Tbl_Employee_Details[],4,0)</f>
        <v>Male</v>
      </c>
      <c r="C83" t="str">
        <f>VLOOKUP(Table4[[#This Row],[Employee ID]],Tbl_Employee_Details[],7,)</f>
        <v>United States</v>
      </c>
      <c r="D83" t="str">
        <f>VLOOKUP(Table4[[#This Row],[Employee ID]],Tbl_Employee_Details[],17,FALSE)</f>
        <v>IT &amp; Admin</v>
      </c>
      <c r="E83" s="6">
        <f ca="1">VLOOKUP(Table4[[#This Row],[Employee ID]],Tbl_Employee_Details[],16,FALSE)</f>
        <v>36.06666666666667</v>
      </c>
      <c r="F83" t="str">
        <f>VLOOKUP(Table4[[#This Row],[Employee ID]],Tbl_Employee_Details[],18,FALSE)</f>
        <v>Paris</v>
      </c>
      <c r="G83" t="str">
        <f>VLOOKUP(Table4[[#This Row],[Employee ID]],Tbl_Emp_Onboarding[],8,FALSE)</f>
        <v>Student</v>
      </c>
    </row>
    <row r="84" spans="1:7" x14ac:dyDescent="0.3">
      <c r="A84" s="17">
        <v>107983</v>
      </c>
      <c r="B84" t="str">
        <f>VLOOKUP(Table4[[#This Row],[Employee ID]],Tbl_Employee_Details[],4,0)</f>
        <v>Female</v>
      </c>
      <c r="C84" t="str">
        <f>VLOOKUP(Table4[[#This Row],[Employee ID]],Tbl_Employee_Details[],7,)</f>
        <v>Sweden</v>
      </c>
      <c r="D84" t="str">
        <f>VLOOKUP(Table4[[#This Row],[Employee ID]],Tbl_Employee_Details[],17,FALSE)</f>
        <v>IT &amp; Admin</v>
      </c>
      <c r="E84" s="6">
        <f ca="1">VLOOKUP(Table4[[#This Row],[Employee ID]],Tbl_Employee_Details[],16,FALSE)</f>
        <v>43.863888888888887</v>
      </c>
      <c r="F84" t="str">
        <f>VLOOKUP(Table4[[#This Row],[Employee ID]],Tbl_Employee_Details[],18,FALSE)</f>
        <v>Paris</v>
      </c>
      <c r="G84" t="str">
        <f>VLOOKUP(Table4[[#This Row],[Employee ID]],Tbl_Emp_Onboarding[],8,FALSE)</f>
        <v>Student</v>
      </c>
    </row>
    <row r="85" spans="1:7" x14ac:dyDescent="0.3">
      <c r="A85" s="17">
        <v>106568</v>
      </c>
      <c r="B85" t="str">
        <f>VLOOKUP(Table4[[#This Row],[Employee ID]],Tbl_Employee_Details[],4,0)</f>
        <v>Male</v>
      </c>
      <c r="C85" t="str">
        <f>VLOOKUP(Table4[[#This Row],[Employee ID]],Tbl_Employee_Details[],7,)</f>
        <v>China</v>
      </c>
      <c r="D85" t="str">
        <f>VLOOKUP(Table4[[#This Row],[Employee ID]],Tbl_Employee_Details[],17,FALSE)</f>
        <v>HR</v>
      </c>
      <c r="E85" s="6">
        <f ca="1">VLOOKUP(Table4[[#This Row],[Employee ID]],Tbl_Employee_Details[],16,FALSE)</f>
        <v>43.097222222222221</v>
      </c>
      <c r="F85" t="str">
        <f>VLOOKUP(Table4[[#This Row],[Employee ID]],Tbl_Employee_Details[],18,FALSE)</f>
        <v>Dubai</v>
      </c>
      <c r="G85" t="str">
        <f>VLOOKUP(Table4[[#This Row],[Employee ID]],Tbl_Emp_Onboarding[],8,FALSE)</f>
        <v>PHD</v>
      </c>
    </row>
    <row r="86" spans="1:7" x14ac:dyDescent="0.3">
      <c r="A86" s="17">
        <v>105959</v>
      </c>
      <c r="B86" t="str">
        <f>VLOOKUP(Table4[[#This Row],[Employee ID]],Tbl_Employee_Details[],4,0)</f>
        <v>Female</v>
      </c>
      <c r="C86" t="str">
        <f>VLOOKUP(Table4[[#This Row],[Employee ID]],Tbl_Employee_Details[],7,)</f>
        <v>India</v>
      </c>
      <c r="D86" t="str">
        <f>VLOOKUP(Table4[[#This Row],[Employee ID]],Tbl_Employee_Details[],17,FALSE)</f>
        <v>HR</v>
      </c>
      <c r="E86" s="6">
        <f ca="1">VLOOKUP(Table4[[#This Row],[Employee ID]],Tbl_Employee_Details[],16,FALSE)</f>
        <v>23.891666666666666</v>
      </c>
      <c r="F86" t="str">
        <f>VLOOKUP(Table4[[#This Row],[Employee ID]],Tbl_Employee_Details[],18,FALSE)</f>
        <v>Bangalore</v>
      </c>
      <c r="G86" t="str">
        <f>VLOOKUP(Table4[[#This Row],[Employee ID]],Tbl_Emp_Onboarding[],8,FALSE)</f>
        <v>PHD</v>
      </c>
    </row>
    <row r="87" spans="1:7" x14ac:dyDescent="0.3">
      <c r="A87" s="17">
        <v>103750</v>
      </c>
      <c r="B87" t="str">
        <f>VLOOKUP(Table4[[#This Row],[Employee ID]],Tbl_Employee_Details[],4,0)</f>
        <v>Male</v>
      </c>
      <c r="C87" t="str">
        <f>VLOOKUP(Table4[[#This Row],[Employee ID]],Tbl_Employee_Details[],7,)</f>
        <v>Ukraine</v>
      </c>
      <c r="D87" t="str">
        <f>VLOOKUP(Table4[[#This Row],[Employee ID]],Tbl_Employee_Details[],17,FALSE)</f>
        <v>IT &amp; Admin</v>
      </c>
      <c r="E87" s="6">
        <f ca="1">VLOOKUP(Table4[[#This Row],[Employee ID]],Tbl_Employee_Details[],16,FALSE)</f>
        <v>42.411111111111111</v>
      </c>
      <c r="F87" t="str">
        <f>VLOOKUP(Table4[[#This Row],[Employee ID]],Tbl_Employee_Details[],18,FALSE)</f>
        <v>Bangalore</v>
      </c>
      <c r="G87" t="str">
        <f>VLOOKUP(Table4[[#This Row],[Employee ID]],Tbl_Emp_Onboarding[],8,FALSE)</f>
        <v>NA</v>
      </c>
    </row>
    <row r="88" spans="1:7" x14ac:dyDescent="0.3">
      <c r="A88" s="17">
        <v>102398</v>
      </c>
      <c r="B88" t="str">
        <f>VLOOKUP(Table4[[#This Row],[Employee ID]],Tbl_Employee_Details[],4,0)</f>
        <v>Female</v>
      </c>
      <c r="C88" t="str">
        <f>VLOOKUP(Table4[[#This Row],[Employee ID]],Tbl_Employee_Details[],7,)</f>
        <v>Russia</v>
      </c>
      <c r="D88" t="str">
        <f>VLOOKUP(Table4[[#This Row],[Employee ID]],Tbl_Employee_Details[],17,FALSE)</f>
        <v>IT &amp; Admin</v>
      </c>
      <c r="E88" s="6">
        <f ca="1">VLOOKUP(Table4[[#This Row],[Employee ID]],Tbl_Employee_Details[],16,FALSE)</f>
        <v>25.708333333333332</v>
      </c>
      <c r="F88" t="str">
        <f>VLOOKUP(Table4[[#This Row],[Employee ID]],Tbl_Employee_Details[],18,FALSE)</f>
        <v>California</v>
      </c>
      <c r="G88" t="str">
        <f>VLOOKUP(Table4[[#This Row],[Employee ID]],Tbl_Emp_Onboarding[],8,FALSE)</f>
        <v>Graduation/Bachelors</v>
      </c>
    </row>
    <row r="89" spans="1:7" x14ac:dyDescent="0.3">
      <c r="A89" s="17">
        <v>105245</v>
      </c>
      <c r="B89" t="str">
        <f>VLOOKUP(Table4[[#This Row],[Employee ID]],Tbl_Employee_Details[],4,0)</f>
        <v>Female</v>
      </c>
      <c r="C89" t="str">
        <f>VLOOKUP(Table4[[#This Row],[Employee ID]],Tbl_Employee_Details[],7,)</f>
        <v>China</v>
      </c>
      <c r="D89" t="str">
        <f>VLOOKUP(Table4[[#This Row],[Employee ID]],Tbl_Employee_Details[],17,FALSE)</f>
        <v>IT &amp; Admin</v>
      </c>
      <c r="E89" s="6">
        <f ca="1">VLOOKUP(Table4[[#This Row],[Employee ID]],Tbl_Employee_Details[],16,FALSE)</f>
        <v>18.708333333333332</v>
      </c>
      <c r="F89" t="str">
        <f>VLOOKUP(Table4[[#This Row],[Employee ID]],Tbl_Employee_Details[],18,FALSE)</f>
        <v>California</v>
      </c>
      <c r="G89" t="str">
        <f>VLOOKUP(Table4[[#This Row],[Employee ID]],Tbl_Emp_Onboarding[],8,FALSE)</f>
        <v>Student</v>
      </c>
    </row>
    <row r="90" spans="1:7" x14ac:dyDescent="0.3">
      <c r="A90" s="17">
        <v>104385</v>
      </c>
      <c r="B90" t="str">
        <f>VLOOKUP(Table4[[#This Row],[Employee ID]],Tbl_Employee_Details[],4,0)</f>
        <v>Female</v>
      </c>
      <c r="C90" t="str">
        <f>VLOOKUP(Table4[[#This Row],[Employee ID]],Tbl_Employee_Details[],7,)</f>
        <v>Albania</v>
      </c>
      <c r="D90" t="str">
        <f>VLOOKUP(Table4[[#This Row],[Employee ID]],Tbl_Employee_Details[],17,FALSE)</f>
        <v>HR</v>
      </c>
      <c r="E90" s="6">
        <f ca="1">VLOOKUP(Table4[[#This Row],[Employee ID]],Tbl_Employee_Details[],16,FALSE)</f>
        <v>26.472222222222221</v>
      </c>
      <c r="F90" t="str">
        <f>VLOOKUP(Table4[[#This Row],[Employee ID]],Tbl_Employee_Details[],18,FALSE)</f>
        <v>Paris</v>
      </c>
      <c r="G90" t="str">
        <f>VLOOKUP(Table4[[#This Row],[Employee ID]],Tbl_Emp_Onboarding[],8,FALSE)</f>
        <v>Post Graduation/Masters</v>
      </c>
    </row>
    <row r="91" spans="1:7" x14ac:dyDescent="0.3">
      <c r="A91" s="17">
        <v>106211</v>
      </c>
      <c r="B91" t="str">
        <f>VLOOKUP(Table4[[#This Row],[Employee ID]],Tbl_Employee_Details[],4,0)</f>
        <v>Male</v>
      </c>
      <c r="C91" t="str">
        <f>VLOOKUP(Table4[[#This Row],[Employee ID]],Tbl_Employee_Details[],7,)</f>
        <v>Portugal</v>
      </c>
      <c r="D91" t="str">
        <f>VLOOKUP(Table4[[#This Row],[Employee ID]],Tbl_Employee_Details[],17,FALSE)</f>
        <v>IT &amp; Admin</v>
      </c>
      <c r="E91" s="6">
        <f ca="1">VLOOKUP(Table4[[#This Row],[Employee ID]],Tbl_Employee_Details[],16,FALSE)</f>
        <v>42.158333333333331</v>
      </c>
      <c r="F91" t="str">
        <f>VLOOKUP(Table4[[#This Row],[Employee ID]],Tbl_Employee_Details[],18,FALSE)</f>
        <v>Toulouse</v>
      </c>
      <c r="G91" t="str">
        <f>VLOOKUP(Table4[[#This Row],[Employee ID]],Tbl_Emp_Onboarding[],8,FALSE)</f>
        <v>Graduation/Bachelors</v>
      </c>
    </row>
    <row r="92" spans="1:7" x14ac:dyDescent="0.3">
      <c r="A92" s="17">
        <v>104830</v>
      </c>
      <c r="B92" t="str">
        <f>VLOOKUP(Table4[[#This Row],[Employee ID]],Tbl_Employee_Details[],4,0)</f>
        <v>Female</v>
      </c>
      <c r="C92" t="str">
        <f>VLOOKUP(Table4[[#This Row],[Employee ID]],Tbl_Employee_Details[],7,)</f>
        <v>Serbia</v>
      </c>
      <c r="D92" t="str">
        <f>VLOOKUP(Table4[[#This Row],[Employee ID]],Tbl_Employee_Details[],17,FALSE)</f>
        <v>Inventory</v>
      </c>
      <c r="E92" s="6">
        <f ca="1">VLOOKUP(Table4[[#This Row],[Employee ID]],Tbl_Employee_Details[],16,FALSE)</f>
        <v>40.130555555555553</v>
      </c>
      <c r="F92" t="str">
        <f>VLOOKUP(Table4[[#This Row],[Employee ID]],Tbl_Employee_Details[],18,FALSE)</f>
        <v>Bangalore</v>
      </c>
      <c r="G92" t="str">
        <f>VLOOKUP(Table4[[#This Row],[Employee ID]],Tbl_Emp_Onboarding[],8,FALSE)</f>
        <v>PHD</v>
      </c>
    </row>
    <row r="93" spans="1:7" x14ac:dyDescent="0.3">
      <c r="A93" s="17">
        <v>107965</v>
      </c>
      <c r="B93" t="str">
        <f>VLOOKUP(Table4[[#This Row],[Employee ID]],Tbl_Employee_Details[],4,0)</f>
        <v>Male</v>
      </c>
      <c r="C93" t="str">
        <f>VLOOKUP(Table4[[#This Row],[Employee ID]],Tbl_Employee_Details[],7,)</f>
        <v>China</v>
      </c>
      <c r="D93" t="str">
        <f>VLOOKUP(Table4[[#This Row],[Employee ID]],Tbl_Employee_Details[],17,FALSE)</f>
        <v>Finance</v>
      </c>
      <c r="E93" s="6">
        <f ca="1">VLOOKUP(Table4[[#This Row],[Employee ID]],Tbl_Employee_Details[],16,FALSE)</f>
        <v>25.291666666666668</v>
      </c>
      <c r="F93" t="str">
        <f>VLOOKUP(Table4[[#This Row],[Employee ID]],Tbl_Employee_Details[],18,FALSE)</f>
        <v>Mumbai</v>
      </c>
      <c r="G93" t="str">
        <f>VLOOKUP(Table4[[#This Row],[Employee ID]],Tbl_Emp_Onboarding[],8,FALSE)</f>
        <v>PHD</v>
      </c>
    </row>
    <row r="94" spans="1:7" x14ac:dyDescent="0.3">
      <c r="A94" s="17">
        <v>103885</v>
      </c>
      <c r="B94" t="str">
        <f>VLOOKUP(Table4[[#This Row],[Employee ID]],Tbl_Employee_Details[],4,0)</f>
        <v>Female</v>
      </c>
      <c r="C94" t="str">
        <f>VLOOKUP(Table4[[#This Row],[Employee ID]],Tbl_Employee_Details[],7,)</f>
        <v>Indonesia</v>
      </c>
      <c r="D94" t="str">
        <f>VLOOKUP(Table4[[#This Row],[Employee ID]],Tbl_Employee_Details[],17,FALSE)</f>
        <v>IT &amp; Admin</v>
      </c>
      <c r="E94" s="6">
        <f ca="1">VLOOKUP(Table4[[#This Row],[Employee ID]],Tbl_Employee_Details[],16,FALSE)</f>
        <v>39.466666666666669</v>
      </c>
      <c r="F94" t="str">
        <f>VLOOKUP(Table4[[#This Row],[Employee ID]],Tbl_Employee_Details[],18,FALSE)</f>
        <v>London</v>
      </c>
      <c r="G94" t="str">
        <f>VLOOKUP(Table4[[#This Row],[Employee ID]],Tbl_Emp_Onboarding[],8,FALSE)</f>
        <v>NA</v>
      </c>
    </row>
    <row r="95" spans="1:7" x14ac:dyDescent="0.3">
      <c r="A95" s="17">
        <v>105514</v>
      </c>
      <c r="B95" t="str">
        <f>VLOOKUP(Table4[[#This Row],[Employee ID]],Tbl_Employee_Details[],4,0)</f>
        <v>Female</v>
      </c>
      <c r="C95" t="str">
        <f>VLOOKUP(Table4[[#This Row],[Employee ID]],Tbl_Employee_Details[],7,)</f>
        <v>Indonesia</v>
      </c>
      <c r="D95" t="str">
        <f>VLOOKUP(Table4[[#This Row],[Employee ID]],Tbl_Employee_Details[],17,FALSE)</f>
        <v>IT &amp; Admin</v>
      </c>
      <c r="E95" s="6">
        <f ca="1">VLOOKUP(Table4[[#This Row],[Employee ID]],Tbl_Employee_Details[],16,FALSE)</f>
        <v>37.638888888888886</v>
      </c>
      <c r="F95" t="str">
        <f>VLOOKUP(Table4[[#This Row],[Employee ID]],Tbl_Employee_Details[],18,FALSE)</f>
        <v>California</v>
      </c>
      <c r="G95" t="str">
        <f>VLOOKUP(Table4[[#This Row],[Employee ID]],Tbl_Emp_Onboarding[],8,FALSE)</f>
        <v>Graduation/Bachelors</v>
      </c>
    </row>
    <row r="96" spans="1:7" x14ac:dyDescent="0.3">
      <c r="A96" s="17">
        <v>107899</v>
      </c>
      <c r="B96" t="str">
        <f>VLOOKUP(Table4[[#This Row],[Employee ID]],Tbl_Employee_Details[],4,0)</f>
        <v>Male</v>
      </c>
      <c r="C96" t="str">
        <f>VLOOKUP(Table4[[#This Row],[Employee ID]],Tbl_Employee_Details[],7,)</f>
        <v>United States</v>
      </c>
      <c r="D96" t="str">
        <f>VLOOKUP(Table4[[#This Row],[Employee ID]],Tbl_Employee_Details[],17,FALSE)</f>
        <v>Organizational</v>
      </c>
      <c r="E96" s="6">
        <f ca="1">VLOOKUP(Table4[[#This Row],[Employee ID]],Tbl_Employee_Details[],16,FALSE)</f>
        <v>39.519444444444446</v>
      </c>
      <c r="F96" t="str">
        <f>VLOOKUP(Table4[[#This Row],[Employee ID]],Tbl_Employee_Details[],18,FALSE)</f>
        <v>Paris</v>
      </c>
      <c r="G96" t="str">
        <f>VLOOKUP(Table4[[#This Row],[Employee ID]],Tbl_Emp_Onboarding[],8,FALSE)</f>
        <v>PHD</v>
      </c>
    </row>
    <row r="97" spans="1:7" x14ac:dyDescent="0.3">
      <c r="A97" s="17">
        <v>104730</v>
      </c>
      <c r="B97" t="str">
        <f>VLOOKUP(Table4[[#This Row],[Employee ID]],Tbl_Employee_Details[],4,0)</f>
        <v>Female</v>
      </c>
      <c r="C97" t="str">
        <f>VLOOKUP(Table4[[#This Row],[Employee ID]],Tbl_Employee_Details[],7,)</f>
        <v>Paraguay</v>
      </c>
      <c r="D97" t="str">
        <f>VLOOKUP(Table4[[#This Row],[Employee ID]],Tbl_Employee_Details[],17,FALSE)</f>
        <v>IT &amp; Admin</v>
      </c>
      <c r="E97" s="6">
        <f ca="1">VLOOKUP(Table4[[#This Row],[Employee ID]],Tbl_Employee_Details[],16,FALSE)</f>
        <v>40.725000000000001</v>
      </c>
      <c r="F97" t="str">
        <f>VLOOKUP(Table4[[#This Row],[Employee ID]],Tbl_Employee_Details[],18,FALSE)</f>
        <v>New York</v>
      </c>
      <c r="G97" t="str">
        <f>VLOOKUP(Table4[[#This Row],[Employee ID]],Tbl_Emp_Onboarding[],8,FALSE)</f>
        <v>Undergrad</v>
      </c>
    </row>
    <row r="98" spans="1:7" x14ac:dyDescent="0.3">
      <c r="A98" s="17">
        <v>104132</v>
      </c>
      <c r="B98" t="str">
        <f>VLOOKUP(Table4[[#This Row],[Employee ID]],Tbl_Employee_Details[],4,0)</f>
        <v>Male</v>
      </c>
      <c r="C98" t="str">
        <f>VLOOKUP(Table4[[#This Row],[Employee ID]],Tbl_Employee_Details[],7,)</f>
        <v>Dominican Republic</v>
      </c>
      <c r="D98" t="str">
        <f>VLOOKUP(Table4[[#This Row],[Employee ID]],Tbl_Employee_Details[],17,FALSE)</f>
        <v>IT &amp; Admin</v>
      </c>
      <c r="E98" s="6">
        <f ca="1">VLOOKUP(Table4[[#This Row],[Employee ID]],Tbl_Employee_Details[],16,FALSE)</f>
        <v>36.19166666666667</v>
      </c>
      <c r="F98" t="str">
        <f>VLOOKUP(Table4[[#This Row],[Employee ID]],Tbl_Employee_Details[],18,FALSE)</f>
        <v>Bangalore</v>
      </c>
      <c r="G98" t="str">
        <f>VLOOKUP(Table4[[#This Row],[Employee ID]],Tbl_Emp_Onboarding[],8,FALSE)</f>
        <v>NA</v>
      </c>
    </row>
    <row r="99" spans="1:7" x14ac:dyDescent="0.3">
      <c r="A99" s="17">
        <v>107839</v>
      </c>
      <c r="B99" t="str">
        <f>VLOOKUP(Table4[[#This Row],[Employee ID]],Tbl_Employee_Details[],4,0)</f>
        <v>Male</v>
      </c>
      <c r="C99" t="str">
        <f>VLOOKUP(Table4[[#This Row],[Employee ID]],Tbl_Employee_Details[],7,)</f>
        <v>Sweden</v>
      </c>
      <c r="D99" t="str">
        <f>VLOOKUP(Table4[[#This Row],[Employee ID]],Tbl_Employee_Details[],17,FALSE)</f>
        <v>IT &amp; Admin</v>
      </c>
      <c r="E99" s="6">
        <f ca="1">VLOOKUP(Table4[[#This Row],[Employee ID]],Tbl_Employee_Details[],16,FALSE)</f>
        <v>37.788888888888891</v>
      </c>
      <c r="F99" t="str">
        <f>VLOOKUP(Table4[[#This Row],[Employee ID]],Tbl_Employee_Details[],18,FALSE)</f>
        <v>Mumbai</v>
      </c>
      <c r="G99" t="str">
        <f>VLOOKUP(Table4[[#This Row],[Employee ID]],Tbl_Emp_Onboarding[],8,FALSE)</f>
        <v>NA</v>
      </c>
    </row>
    <row r="100" spans="1:7" x14ac:dyDescent="0.3">
      <c r="A100" s="17">
        <v>107810</v>
      </c>
      <c r="B100" t="str">
        <f>VLOOKUP(Table4[[#This Row],[Employee ID]],Tbl_Employee_Details[],4,0)</f>
        <v>Female</v>
      </c>
      <c r="C100" t="str">
        <f>VLOOKUP(Table4[[#This Row],[Employee ID]],Tbl_Employee_Details[],7,)</f>
        <v>Bahamas</v>
      </c>
      <c r="D100" t="str">
        <f>VLOOKUP(Table4[[#This Row],[Employee ID]],Tbl_Employee_Details[],17,FALSE)</f>
        <v>Sales</v>
      </c>
      <c r="E100" s="6">
        <f ca="1">VLOOKUP(Table4[[#This Row],[Employee ID]],Tbl_Employee_Details[],16,FALSE)</f>
        <v>28.977777777777778</v>
      </c>
      <c r="F100" t="str">
        <f>VLOOKUP(Table4[[#This Row],[Employee ID]],Tbl_Employee_Details[],18,FALSE)</f>
        <v>Dubai</v>
      </c>
      <c r="G100" t="str">
        <f>VLOOKUP(Table4[[#This Row],[Employee ID]],Tbl_Emp_Onboarding[],8,FALSE)</f>
        <v>PHD</v>
      </c>
    </row>
    <row r="101" spans="1:7" x14ac:dyDescent="0.3">
      <c r="A101" s="17">
        <v>102329</v>
      </c>
      <c r="B101" t="str">
        <f>VLOOKUP(Table4[[#This Row],[Employee ID]],Tbl_Employee_Details[],4,0)</f>
        <v>Female</v>
      </c>
      <c r="C101" t="str">
        <f>VLOOKUP(Table4[[#This Row],[Employee ID]],Tbl_Employee_Details[],7,)</f>
        <v>Poland</v>
      </c>
      <c r="D101" t="str">
        <f>VLOOKUP(Table4[[#This Row],[Employee ID]],Tbl_Employee_Details[],17,FALSE)</f>
        <v>IT &amp; Admin</v>
      </c>
      <c r="E101" s="6">
        <f ca="1">VLOOKUP(Table4[[#This Row],[Employee ID]],Tbl_Employee_Details[],16,FALSE)</f>
        <v>43.961111111111109</v>
      </c>
      <c r="F101" t="str">
        <f>VLOOKUP(Table4[[#This Row],[Employee ID]],Tbl_Employee_Details[],18,FALSE)</f>
        <v>Dubai</v>
      </c>
      <c r="G101" t="str">
        <f>VLOOKUP(Table4[[#This Row],[Employee ID]],Tbl_Emp_Onboarding[],8,FALSE)</f>
        <v>NA</v>
      </c>
    </row>
    <row r="102" spans="1:7" x14ac:dyDescent="0.3">
      <c r="A102" s="17">
        <v>104729</v>
      </c>
      <c r="B102" t="str">
        <f>VLOOKUP(Table4[[#This Row],[Employee ID]],Tbl_Employee_Details[],4,0)</f>
        <v>Male</v>
      </c>
      <c r="C102" t="str">
        <f>VLOOKUP(Table4[[#This Row],[Employee ID]],Tbl_Employee_Details[],7,)</f>
        <v>Poland</v>
      </c>
      <c r="D102" t="str">
        <f>VLOOKUP(Table4[[#This Row],[Employee ID]],Tbl_Employee_Details[],17,FALSE)</f>
        <v>IT &amp; Admin</v>
      </c>
      <c r="E102" s="6">
        <f ca="1">VLOOKUP(Table4[[#This Row],[Employee ID]],Tbl_Employee_Details[],16,FALSE)</f>
        <v>32.480555555555554</v>
      </c>
      <c r="F102" t="str">
        <f>VLOOKUP(Table4[[#This Row],[Employee ID]],Tbl_Employee_Details[],18,FALSE)</f>
        <v>Dubai</v>
      </c>
      <c r="G102" t="str">
        <f>VLOOKUP(Table4[[#This Row],[Employee ID]],Tbl_Emp_Onboarding[],8,FALSE)</f>
        <v>Undergrad</v>
      </c>
    </row>
    <row r="103" spans="1:7" x14ac:dyDescent="0.3">
      <c r="A103" s="17">
        <v>102235</v>
      </c>
      <c r="B103" t="str">
        <f>VLOOKUP(Table4[[#This Row],[Employee ID]],Tbl_Employee_Details[],4,0)</f>
        <v>Female</v>
      </c>
      <c r="C103" t="str">
        <f>VLOOKUP(Table4[[#This Row],[Employee ID]],Tbl_Employee_Details[],7,)</f>
        <v>Sri Lanka</v>
      </c>
      <c r="D103" t="str">
        <f>VLOOKUP(Table4[[#This Row],[Employee ID]],Tbl_Employee_Details[],17,FALSE)</f>
        <v>IT &amp; Admin</v>
      </c>
      <c r="E103" s="6">
        <f ca="1">VLOOKUP(Table4[[#This Row],[Employee ID]],Tbl_Employee_Details[],16,FALSE)</f>
        <v>44.791666666666664</v>
      </c>
      <c r="F103" t="str">
        <f>VLOOKUP(Table4[[#This Row],[Employee ID]],Tbl_Employee_Details[],18,FALSE)</f>
        <v>Paris</v>
      </c>
      <c r="G103" t="str">
        <f>VLOOKUP(Table4[[#This Row],[Employee ID]],Tbl_Emp_Onboarding[],8,FALSE)</f>
        <v>NA</v>
      </c>
    </row>
    <row r="104" spans="1:7" x14ac:dyDescent="0.3">
      <c r="A104" s="17">
        <v>106629</v>
      </c>
      <c r="B104" t="str">
        <f>VLOOKUP(Table4[[#This Row],[Employee ID]],Tbl_Employee_Details[],4,0)</f>
        <v>Female</v>
      </c>
      <c r="C104" t="str">
        <f>VLOOKUP(Table4[[#This Row],[Employee ID]],Tbl_Employee_Details[],7,)</f>
        <v>India</v>
      </c>
      <c r="D104" t="str">
        <f>VLOOKUP(Table4[[#This Row],[Employee ID]],Tbl_Employee_Details[],17,FALSE)</f>
        <v>Finance</v>
      </c>
      <c r="E104" s="6">
        <f ca="1">VLOOKUP(Table4[[#This Row],[Employee ID]],Tbl_Employee_Details[],16,FALSE)</f>
        <v>23.541666666666668</v>
      </c>
      <c r="F104" t="str">
        <f>VLOOKUP(Table4[[#This Row],[Employee ID]],Tbl_Employee_Details[],18,FALSE)</f>
        <v>Bangalore</v>
      </c>
      <c r="G104" t="str">
        <f>VLOOKUP(Table4[[#This Row],[Employee ID]],Tbl_Emp_Onboarding[],8,FALSE)</f>
        <v>Post Graduation/Masters</v>
      </c>
    </row>
    <row r="105" spans="1:7" x14ac:dyDescent="0.3">
      <c r="A105" s="17">
        <v>107193</v>
      </c>
      <c r="B105" t="str">
        <f>VLOOKUP(Table4[[#This Row],[Employee ID]],Tbl_Employee_Details[],4,0)</f>
        <v>Female</v>
      </c>
      <c r="C105" t="str">
        <f>VLOOKUP(Table4[[#This Row],[Employee ID]],Tbl_Employee_Details[],7,)</f>
        <v>Nigeria</v>
      </c>
      <c r="D105" t="str">
        <f>VLOOKUP(Table4[[#This Row],[Employee ID]],Tbl_Employee_Details[],17,FALSE)</f>
        <v>IT &amp; Admin</v>
      </c>
      <c r="E105" s="6">
        <f ca="1">VLOOKUP(Table4[[#This Row],[Employee ID]],Tbl_Employee_Details[],16,FALSE)</f>
        <v>38.44166666666667</v>
      </c>
      <c r="F105" t="str">
        <f>VLOOKUP(Table4[[#This Row],[Employee ID]],Tbl_Employee_Details[],18,FALSE)</f>
        <v>Paris</v>
      </c>
      <c r="G105" t="str">
        <f>VLOOKUP(Table4[[#This Row],[Employee ID]],Tbl_Emp_Onboarding[],8,FALSE)</f>
        <v>Post Graduation/Masters</v>
      </c>
    </row>
    <row r="106" spans="1:7" x14ac:dyDescent="0.3">
      <c r="A106" s="17">
        <v>107920</v>
      </c>
      <c r="B106" t="str">
        <f>VLOOKUP(Table4[[#This Row],[Employee ID]],Tbl_Employee_Details[],4,0)</f>
        <v>Male</v>
      </c>
      <c r="C106" t="str">
        <f>VLOOKUP(Table4[[#This Row],[Employee ID]],Tbl_Employee_Details[],7,)</f>
        <v>Yemen</v>
      </c>
      <c r="D106" t="str">
        <f>VLOOKUP(Table4[[#This Row],[Employee ID]],Tbl_Employee_Details[],17,FALSE)</f>
        <v>Inventory</v>
      </c>
      <c r="E106" s="6">
        <f ca="1">VLOOKUP(Table4[[#This Row],[Employee ID]],Tbl_Employee_Details[],16,FALSE)</f>
        <v>32.74722222222222</v>
      </c>
      <c r="F106" t="str">
        <f>VLOOKUP(Table4[[#This Row],[Employee ID]],Tbl_Employee_Details[],18,FALSE)</f>
        <v>Mumbai</v>
      </c>
      <c r="G106" t="str">
        <f>VLOOKUP(Table4[[#This Row],[Employee ID]],Tbl_Emp_Onboarding[],8,FALSE)</f>
        <v>NA</v>
      </c>
    </row>
    <row r="107" spans="1:7" x14ac:dyDescent="0.3">
      <c r="A107" s="17">
        <v>105205</v>
      </c>
      <c r="B107" t="str">
        <f>VLOOKUP(Table4[[#This Row],[Employee ID]],Tbl_Employee_Details[],4,0)</f>
        <v>Male</v>
      </c>
      <c r="C107" t="str">
        <f>VLOOKUP(Table4[[#This Row],[Employee ID]],Tbl_Employee_Details[],7,)</f>
        <v>Guam</v>
      </c>
      <c r="D107" t="str">
        <f>VLOOKUP(Table4[[#This Row],[Employee ID]],Tbl_Employee_Details[],17,FALSE)</f>
        <v>Inventory</v>
      </c>
      <c r="E107" s="6">
        <f ca="1">VLOOKUP(Table4[[#This Row],[Employee ID]],Tbl_Employee_Details[],16,FALSE)</f>
        <v>42.947222222222223</v>
      </c>
      <c r="F107" t="str">
        <f>VLOOKUP(Table4[[#This Row],[Employee ID]],Tbl_Employee_Details[],18,FALSE)</f>
        <v>New York</v>
      </c>
      <c r="G107" t="str">
        <f>VLOOKUP(Table4[[#This Row],[Employee ID]],Tbl_Emp_Onboarding[],8,FALSE)</f>
        <v>Student</v>
      </c>
    </row>
    <row r="108" spans="1:7" x14ac:dyDescent="0.3">
      <c r="A108" s="17">
        <v>106561</v>
      </c>
      <c r="B108" t="str">
        <f>VLOOKUP(Table4[[#This Row],[Employee ID]],Tbl_Employee_Details[],4,0)</f>
        <v>Female</v>
      </c>
      <c r="C108" t="str">
        <f>VLOOKUP(Table4[[#This Row],[Employee ID]],Tbl_Employee_Details[],7,)</f>
        <v>Croatia</v>
      </c>
      <c r="D108" t="str">
        <f>VLOOKUP(Table4[[#This Row],[Employee ID]],Tbl_Employee_Details[],17,FALSE)</f>
        <v>Inventory</v>
      </c>
      <c r="E108" s="6">
        <f ca="1">VLOOKUP(Table4[[#This Row],[Employee ID]],Tbl_Employee_Details[],16,FALSE)</f>
        <v>23.358333333333334</v>
      </c>
      <c r="F108" t="str">
        <f>VLOOKUP(Table4[[#This Row],[Employee ID]],Tbl_Employee_Details[],18,FALSE)</f>
        <v>Mumbai</v>
      </c>
      <c r="G108" t="str">
        <f>VLOOKUP(Table4[[#This Row],[Employee ID]],Tbl_Emp_Onboarding[],8,FALSE)</f>
        <v>Graduation/Bachelors</v>
      </c>
    </row>
    <row r="109" spans="1:7" x14ac:dyDescent="0.3">
      <c r="A109" s="17">
        <v>106723</v>
      </c>
      <c r="B109" t="str">
        <f>VLOOKUP(Table4[[#This Row],[Employee ID]],Tbl_Employee_Details[],4,0)</f>
        <v>Male</v>
      </c>
      <c r="C109" t="str">
        <f>VLOOKUP(Table4[[#This Row],[Employee ID]],Tbl_Employee_Details[],7,)</f>
        <v>China</v>
      </c>
      <c r="D109" t="str">
        <f>VLOOKUP(Table4[[#This Row],[Employee ID]],Tbl_Employee_Details[],17,FALSE)</f>
        <v>Inventory</v>
      </c>
      <c r="E109" s="6">
        <f ca="1">VLOOKUP(Table4[[#This Row],[Employee ID]],Tbl_Employee_Details[],16,FALSE)</f>
        <v>26.55</v>
      </c>
      <c r="F109" t="str">
        <f>VLOOKUP(Table4[[#This Row],[Employee ID]],Tbl_Employee_Details[],18,FALSE)</f>
        <v>Mumbai</v>
      </c>
      <c r="G109" t="str">
        <f>VLOOKUP(Table4[[#This Row],[Employee ID]],Tbl_Emp_Onboarding[],8,FALSE)</f>
        <v>NA</v>
      </c>
    </row>
    <row r="110" spans="1:7" x14ac:dyDescent="0.3">
      <c r="A110" s="17">
        <v>103437</v>
      </c>
      <c r="B110" t="str">
        <f>VLOOKUP(Table4[[#This Row],[Employee ID]],Tbl_Employee_Details[],4,0)</f>
        <v>Male</v>
      </c>
      <c r="C110" t="str">
        <f>VLOOKUP(Table4[[#This Row],[Employee ID]],Tbl_Employee_Details[],7,)</f>
        <v>Indonesia</v>
      </c>
      <c r="D110" t="str">
        <f>VLOOKUP(Table4[[#This Row],[Employee ID]],Tbl_Employee_Details[],17,FALSE)</f>
        <v>Inventory</v>
      </c>
      <c r="E110" s="6">
        <f ca="1">VLOOKUP(Table4[[#This Row],[Employee ID]],Tbl_Employee_Details[],16,FALSE)</f>
        <v>18.18888888888889</v>
      </c>
      <c r="F110" t="str">
        <f>VLOOKUP(Table4[[#This Row],[Employee ID]],Tbl_Employee_Details[],18,FALSE)</f>
        <v>London</v>
      </c>
      <c r="G110" t="str">
        <f>VLOOKUP(Table4[[#This Row],[Employee ID]],Tbl_Emp_Onboarding[],8,FALSE)</f>
        <v>Undergrad</v>
      </c>
    </row>
    <row r="111" spans="1:7" x14ac:dyDescent="0.3">
      <c r="A111" s="17">
        <v>104872</v>
      </c>
      <c r="B111" t="str">
        <f>VLOOKUP(Table4[[#This Row],[Employee ID]],Tbl_Employee_Details[],4,0)</f>
        <v>Male</v>
      </c>
      <c r="C111" t="str">
        <f>VLOOKUP(Table4[[#This Row],[Employee ID]],Tbl_Employee_Details[],7,)</f>
        <v>Costa Rica</v>
      </c>
      <c r="D111" t="str">
        <f>VLOOKUP(Table4[[#This Row],[Employee ID]],Tbl_Employee_Details[],17,FALSE)</f>
        <v>Customer Service</v>
      </c>
      <c r="E111" s="6">
        <f ca="1">VLOOKUP(Table4[[#This Row],[Employee ID]],Tbl_Employee_Details[],16,FALSE)</f>
        <v>31.766666666666666</v>
      </c>
      <c r="F111" t="str">
        <f>VLOOKUP(Table4[[#This Row],[Employee ID]],Tbl_Employee_Details[],18,FALSE)</f>
        <v>New York</v>
      </c>
      <c r="G111" t="str">
        <f>VLOOKUP(Table4[[#This Row],[Employee ID]],Tbl_Emp_Onboarding[],8,FALSE)</f>
        <v>Post Graduation/Masters</v>
      </c>
    </row>
    <row r="112" spans="1:7" x14ac:dyDescent="0.3">
      <c r="A112" s="17">
        <v>103770</v>
      </c>
      <c r="B112" t="str">
        <f>VLOOKUP(Table4[[#This Row],[Employee ID]],Tbl_Employee_Details[],4,0)</f>
        <v>Male</v>
      </c>
      <c r="C112" t="str">
        <f>VLOOKUP(Table4[[#This Row],[Employee ID]],Tbl_Employee_Details[],7,)</f>
        <v>China</v>
      </c>
      <c r="D112" t="str">
        <f>VLOOKUP(Table4[[#This Row],[Employee ID]],Tbl_Employee_Details[],17,FALSE)</f>
        <v>Inventory</v>
      </c>
      <c r="E112" s="6">
        <f ca="1">VLOOKUP(Table4[[#This Row],[Employee ID]],Tbl_Employee_Details[],16,FALSE)</f>
        <v>26.408333333333335</v>
      </c>
      <c r="F112" t="str">
        <f>VLOOKUP(Table4[[#This Row],[Employee ID]],Tbl_Employee_Details[],18,FALSE)</f>
        <v>London</v>
      </c>
      <c r="G112" t="str">
        <f>VLOOKUP(Table4[[#This Row],[Employee ID]],Tbl_Emp_Onboarding[],8,FALSE)</f>
        <v>Student</v>
      </c>
    </row>
    <row r="113" spans="1:7" x14ac:dyDescent="0.3">
      <c r="A113" s="17">
        <v>102343</v>
      </c>
      <c r="B113" t="str">
        <f>VLOOKUP(Table4[[#This Row],[Employee ID]],Tbl_Employee_Details[],4,0)</f>
        <v>Male</v>
      </c>
      <c r="C113" t="str">
        <f>VLOOKUP(Table4[[#This Row],[Employee ID]],Tbl_Employee_Details[],7,)</f>
        <v>India</v>
      </c>
      <c r="D113" t="str">
        <f>VLOOKUP(Table4[[#This Row],[Employee ID]],Tbl_Employee_Details[],17,FALSE)</f>
        <v>Purchasing</v>
      </c>
      <c r="E113" s="6">
        <f ca="1">VLOOKUP(Table4[[#This Row],[Employee ID]],Tbl_Employee_Details[],16,FALSE)</f>
        <v>33.736111111111114</v>
      </c>
      <c r="F113" t="str">
        <f>VLOOKUP(Table4[[#This Row],[Employee ID]],Tbl_Employee_Details[],18,FALSE)</f>
        <v>Bangalore</v>
      </c>
      <c r="G113" t="str">
        <f>VLOOKUP(Table4[[#This Row],[Employee ID]],Tbl_Emp_Onboarding[],8,FALSE)</f>
        <v>PHD</v>
      </c>
    </row>
    <row r="114" spans="1:7" x14ac:dyDescent="0.3">
      <c r="A114" s="17">
        <v>104762</v>
      </c>
      <c r="B114" t="str">
        <f>VLOOKUP(Table4[[#This Row],[Employee ID]],Tbl_Employee_Details[],4,0)</f>
        <v>Male</v>
      </c>
      <c r="C114" t="str">
        <f>VLOOKUP(Table4[[#This Row],[Employee ID]],Tbl_Employee_Details[],7,)</f>
        <v>Peru</v>
      </c>
      <c r="D114" t="str">
        <f>VLOOKUP(Table4[[#This Row],[Employee ID]],Tbl_Employee_Details[],17,FALSE)</f>
        <v>Inventory</v>
      </c>
      <c r="E114" s="6">
        <f ca="1">VLOOKUP(Table4[[#This Row],[Employee ID]],Tbl_Employee_Details[],16,FALSE)</f>
        <v>27.455555555555556</v>
      </c>
      <c r="F114" t="str">
        <f>VLOOKUP(Table4[[#This Row],[Employee ID]],Tbl_Employee_Details[],18,FALSE)</f>
        <v>Mumbai</v>
      </c>
      <c r="G114" t="str">
        <f>VLOOKUP(Table4[[#This Row],[Employee ID]],Tbl_Emp_Onboarding[],8,FALSE)</f>
        <v>Student</v>
      </c>
    </row>
    <row r="115" spans="1:7" x14ac:dyDescent="0.3">
      <c r="A115" s="17">
        <v>104928</v>
      </c>
      <c r="B115" t="str">
        <f>VLOOKUP(Table4[[#This Row],[Employee ID]],Tbl_Employee_Details[],4,0)</f>
        <v>Female</v>
      </c>
      <c r="C115" t="str">
        <f>VLOOKUP(Table4[[#This Row],[Employee ID]],Tbl_Employee_Details[],7,)</f>
        <v>China</v>
      </c>
      <c r="D115" t="str">
        <f>VLOOKUP(Table4[[#This Row],[Employee ID]],Tbl_Employee_Details[],17,FALSE)</f>
        <v>Inventory</v>
      </c>
      <c r="E115" s="6">
        <f ca="1">VLOOKUP(Table4[[#This Row],[Employee ID]],Tbl_Employee_Details[],16,FALSE)</f>
        <v>21.663888888888888</v>
      </c>
      <c r="F115" t="str">
        <f>VLOOKUP(Table4[[#This Row],[Employee ID]],Tbl_Employee_Details[],18,FALSE)</f>
        <v>Mumbai</v>
      </c>
      <c r="G115" t="str">
        <f>VLOOKUP(Table4[[#This Row],[Employee ID]],Tbl_Emp_Onboarding[],8,FALSE)</f>
        <v>NA</v>
      </c>
    </row>
    <row r="116" spans="1:7" x14ac:dyDescent="0.3">
      <c r="A116" s="17">
        <v>105325</v>
      </c>
      <c r="B116" t="str">
        <f>VLOOKUP(Table4[[#This Row],[Employee ID]],Tbl_Employee_Details[],4,0)</f>
        <v>Male</v>
      </c>
      <c r="C116" t="str">
        <f>VLOOKUP(Table4[[#This Row],[Employee ID]],Tbl_Employee_Details[],7,)</f>
        <v>Brazil</v>
      </c>
      <c r="D116" t="str">
        <f>VLOOKUP(Table4[[#This Row],[Employee ID]],Tbl_Employee_Details[],17,FALSE)</f>
        <v>Inventory</v>
      </c>
      <c r="E116" s="6">
        <f ca="1">VLOOKUP(Table4[[#This Row],[Employee ID]],Tbl_Employee_Details[],16,FALSE)</f>
        <v>38.097222222222221</v>
      </c>
      <c r="F116" t="str">
        <f>VLOOKUP(Table4[[#This Row],[Employee ID]],Tbl_Employee_Details[],18,FALSE)</f>
        <v>Bangalore</v>
      </c>
      <c r="G116" t="str">
        <f>VLOOKUP(Table4[[#This Row],[Employee ID]],Tbl_Emp_Onboarding[],8,FALSE)</f>
        <v>Student</v>
      </c>
    </row>
    <row r="117" spans="1:7" x14ac:dyDescent="0.3">
      <c r="A117" s="17">
        <v>104038</v>
      </c>
      <c r="B117" t="str">
        <f>VLOOKUP(Table4[[#This Row],[Employee ID]],Tbl_Employee_Details[],4,0)</f>
        <v>Male</v>
      </c>
      <c r="C117" t="str">
        <f>VLOOKUP(Table4[[#This Row],[Employee ID]],Tbl_Employee_Details[],7,)</f>
        <v>Sri Lanka</v>
      </c>
      <c r="D117" t="str">
        <f>VLOOKUP(Table4[[#This Row],[Employee ID]],Tbl_Employee_Details[],17,FALSE)</f>
        <v>Inventory</v>
      </c>
      <c r="E117" s="6">
        <f ca="1">VLOOKUP(Table4[[#This Row],[Employee ID]],Tbl_Employee_Details[],16,FALSE)</f>
        <v>44.280555555555559</v>
      </c>
      <c r="F117" t="str">
        <f>VLOOKUP(Table4[[#This Row],[Employee ID]],Tbl_Employee_Details[],18,FALSE)</f>
        <v>Dubai</v>
      </c>
      <c r="G117" t="str">
        <f>VLOOKUP(Table4[[#This Row],[Employee ID]],Tbl_Emp_Onboarding[],8,FALSE)</f>
        <v>Student</v>
      </c>
    </row>
    <row r="118" spans="1:7" x14ac:dyDescent="0.3">
      <c r="A118" s="17">
        <v>105966</v>
      </c>
      <c r="B118" t="str">
        <f>VLOOKUP(Table4[[#This Row],[Employee ID]],Tbl_Employee_Details[],4,0)</f>
        <v>Male</v>
      </c>
      <c r="C118" t="str">
        <f>VLOOKUP(Table4[[#This Row],[Employee ID]],Tbl_Employee_Details[],7,)</f>
        <v>Yemen</v>
      </c>
      <c r="D118" t="str">
        <f>VLOOKUP(Table4[[#This Row],[Employee ID]],Tbl_Employee_Details[],17,FALSE)</f>
        <v>Inventory</v>
      </c>
      <c r="E118" s="6">
        <f ca="1">VLOOKUP(Table4[[#This Row],[Employee ID]],Tbl_Employee_Details[],16,FALSE)</f>
        <v>30.391666666666666</v>
      </c>
      <c r="F118" t="str">
        <f>VLOOKUP(Table4[[#This Row],[Employee ID]],Tbl_Employee_Details[],18,FALSE)</f>
        <v>New York</v>
      </c>
      <c r="G118" t="str">
        <f>VLOOKUP(Table4[[#This Row],[Employee ID]],Tbl_Emp_Onboarding[],8,FALSE)</f>
        <v>Graduation/Bachelors</v>
      </c>
    </row>
    <row r="119" spans="1:7" x14ac:dyDescent="0.3">
      <c r="A119" s="17">
        <v>104711</v>
      </c>
      <c r="B119" t="str">
        <f>VLOOKUP(Table4[[#This Row],[Employee ID]],Tbl_Employee_Details[],4,0)</f>
        <v>Female</v>
      </c>
      <c r="C119" t="str">
        <f>VLOOKUP(Table4[[#This Row],[Employee ID]],Tbl_Employee_Details[],7,)</f>
        <v>Peru</v>
      </c>
      <c r="D119" t="str">
        <f>VLOOKUP(Table4[[#This Row],[Employee ID]],Tbl_Employee_Details[],17,FALSE)</f>
        <v>Inventory</v>
      </c>
      <c r="E119" s="6">
        <f ca="1">VLOOKUP(Table4[[#This Row],[Employee ID]],Tbl_Employee_Details[],16,FALSE)</f>
        <v>18.119444444444444</v>
      </c>
      <c r="F119" t="str">
        <f>VLOOKUP(Table4[[#This Row],[Employee ID]],Tbl_Employee_Details[],18,FALSE)</f>
        <v>London</v>
      </c>
      <c r="G119" t="str">
        <f>VLOOKUP(Table4[[#This Row],[Employee ID]],Tbl_Emp_Onboarding[],8,FALSE)</f>
        <v>Undergrad</v>
      </c>
    </row>
    <row r="120" spans="1:7" x14ac:dyDescent="0.3">
      <c r="A120" s="17">
        <v>106798</v>
      </c>
      <c r="B120" t="str">
        <f>VLOOKUP(Table4[[#This Row],[Employee ID]],Tbl_Employee_Details[],4,0)</f>
        <v>Female</v>
      </c>
      <c r="C120" t="str">
        <f>VLOOKUP(Table4[[#This Row],[Employee ID]],Tbl_Employee_Details[],7,)</f>
        <v>Ireland</v>
      </c>
      <c r="D120" t="str">
        <f>VLOOKUP(Table4[[#This Row],[Employee ID]],Tbl_Employee_Details[],17,FALSE)</f>
        <v>Inventory</v>
      </c>
      <c r="E120" s="6">
        <f ca="1">VLOOKUP(Table4[[#This Row],[Employee ID]],Tbl_Employee_Details[],16,FALSE)</f>
        <v>30.830555555555556</v>
      </c>
      <c r="F120" t="str">
        <f>VLOOKUP(Table4[[#This Row],[Employee ID]],Tbl_Employee_Details[],18,FALSE)</f>
        <v>Mumbai</v>
      </c>
      <c r="G120" t="str">
        <f>VLOOKUP(Table4[[#This Row],[Employee ID]],Tbl_Emp_Onboarding[],8,FALSE)</f>
        <v>NA</v>
      </c>
    </row>
    <row r="121" spans="1:7" x14ac:dyDescent="0.3">
      <c r="A121" s="17">
        <v>104534</v>
      </c>
      <c r="B121" t="str">
        <f>VLOOKUP(Table4[[#This Row],[Employee ID]],Tbl_Employee_Details[],4,0)</f>
        <v>Male</v>
      </c>
      <c r="C121" t="str">
        <f>VLOOKUP(Table4[[#This Row],[Employee ID]],Tbl_Employee_Details[],7,)</f>
        <v>Indonesia</v>
      </c>
      <c r="D121" t="str">
        <f>VLOOKUP(Table4[[#This Row],[Employee ID]],Tbl_Employee_Details[],17,FALSE)</f>
        <v>Quality Assurance</v>
      </c>
      <c r="E121" s="6">
        <f ca="1">VLOOKUP(Table4[[#This Row],[Employee ID]],Tbl_Employee_Details[],16,FALSE)</f>
        <v>30.274999999999999</v>
      </c>
      <c r="F121" t="str">
        <f>VLOOKUP(Table4[[#This Row],[Employee ID]],Tbl_Employee_Details[],18,FALSE)</f>
        <v>Dubai</v>
      </c>
      <c r="G121" t="str">
        <f>VLOOKUP(Table4[[#This Row],[Employee ID]],Tbl_Emp_Onboarding[],8,FALSE)</f>
        <v>PHD</v>
      </c>
    </row>
    <row r="122" spans="1:7" x14ac:dyDescent="0.3">
      <c r="A122" s="17">
        <v>103893</v>
      </c>
      <c r="B122" t="str">
        <f>VLOOKUP(Table4[[#This Row],[Employee ID]],Tbl_Employee_Details[],4,0)</f>
        <v>Male</v>
      </c>
      <c r="C122" t="str">
        <f>VLOOKUP(Table4[[#This Row],[Employee ID]],Tbl_Employee_Details[],7,)</f>
        <v>Russia</v>
      </c>
      <c r="D122" t="str">
        <f>VLOOKUP(Table4[[#This Row],[Employee ID]],Tbl_Employee_Details[],17,FALSE)</f>
        <v>Quality Assurance</v>
      </c>
      <c r="E122" s="6">
        <f ca="1">VLOOKUP(Table4[[#This Row],[Employee ID]],Tbl_Employee_Details[],16,FALSE)</f>
        <v>19.172222222222221</v>
      </c>
      <c r="F122" t="str">
        <f>VLOOKUP(Table4[[#This Row],[Employee ID]],Tbl_Employee_Details[],18,FALSE)</f>
        <v>Dubai</v>
      </c>
      <c r="G122" t="str">
        <f>VLOOKUP(Table4[[#This Row],[Employee ID]],Tbl_Emp_Onboarding[],8,FALSE)</f>
        <v>Graduation/Bachelors</v>
      </c>
    </row>
    <row r="123" spans="1:7" x14ac:dyDescent="0.3">
      <c r="A123" s="17">
        <v>107875</v>
      </c>
      <c r="B123" t="str">
        <f>VLOOKUP(Table4[[#This Row],[Employee ID]],Tbl_Employee_Details[],4,0)</f>
        <v>Female</v>
      </c>
      <c r="C123" t="str">
        <f>VLOOKUP(Table4[[#This Row],[Employee ID]],Tbl_Employee_Details[],7,)</f>
        <v>Morocco</v>
      </c>
      <c r="D123" t="str">
        <f>VLOOKUP(Table4[[#This Row],[Employee ID]],Tbl_Employee_Details[],17,FALSE)</f>
        <v>Quality Assurance</v>
      </c>
      <c r="E123" s="6">
        <f ca="1">VLOOKUP(Table4[[#This Row],[Employee ID]],Tbl_Employee_Details[],16,FALSE)</f>
        <v>42.205555555555556</v>
      </c>
      <c r="F123" t="str">
        <f>VLOOKUP(Table4[[#This Row],[Employee ID]],Tbl_Employee_Details[],18,FALSE)</f>
        <v>Mumbai</v>
      </c>
      <c r="G123" t="str">
        <f>VLOOKUP(Table4[[#This Row],[Employee ID]],Tbl_Emp_Onboarding[],8,FALSE)</f>
        <v>NA</v>
      </c>
    </row>
    <row r="124" spans="1:7" x14ac:dyDescent="0.3">
      <c r="A124" s="17">
        <v>104704</v>
      </c>
      <c r="B124" t="str">
        <f>VLOOKUP(Table4[[#This Row],[Employee ID]],Tbl_Employee_Details[],4,0)</f>
        <v>Female</v>
      </c>
      <c r="C124" t="str">
        <f>VLOOKUP(Table4[[#This Row],[Employee ID]],Tbl_Employee_Details[],7,)</f>
        <v>Peru</v>
      </c>
      <c r="D124" t="str">
        <f>VLOOKUP(Table4[[#This Row],[Employee ID]],Tbl_Employee_Details[],17,FALSE)</f>
        <v>Quality Assurance</v>
      </c>
      <c r="E124" s="6">
        <f ca="1">VLOOKUP(Table4[[#This Row],[Employee ID]],Tbl_Employee_Details[],16,FALSE)</f>
        <v>38.927777777777777</v>
      </c>
      <c r="F124" t="str">
        <f>VLOOKUP(Table4[[#This Row],[Employee ID]],Tbl_Employee_Details[],18,FALSE)</f>
        <v>Dubai</v>
      </c>
      <c r="G124" t="str">
        <f>VLOOKUP(Table4[[#This Row],[Employee ID]],Tbl_Emp_Onboarding[],8,FALSE)</f>
        <v>Graduation/Bachelors</v>
      </c>
    </row>
    <row r="125" spans="1:7" x14ac:dyDescent="0.3">
      <c r="A125" s="17">
        <v>102780</v>
      </c>
      <c r="B125" t="str">
        <f>VLOOKUP(Table4[[#This Row],[Employee ID]],Tbl_Employee_Details[],4,0)</f>
        <v>Male</v>
      </c>
      <c r="C125" t="str">
        <f>VLOOKUP(Table4[[#This Row],[Employee ID]],Tbl_Employee_Details[],7,)</f>
        <v>Armenia</v>
      </c>
      <c r="D125" t="str">
        <f>VLOOKUP(Table4[[#This Row],[Employee ID]],Tbl_Employee_Details[],17,FALSE)</f>
        <v>Quality Assurance</v>
      </c>
      <c r="E125" s="6">
        <f ca="1">VLOOKUP(Table4[[#This Row],[Employee ID]],Tbl_Employee_Details[],16,FALSE)</f>
        <v>23.127777777777776</v>
      </c>
      <c r="F125" t="str">
        <f>VLOOKUP(Table4[[#This Row],[Employee ID]],Tbl_Employee_Details[],18,FALSE)</f>
        <v>New York</v>
      </c>
      <c r="G125" t="str">
        <f>VLOOKUP(Table4[[#This Row],[Employee ID]],Tbl_Emp_Onboarding[],8,FALSE)</f>
        <v>Student</v>
      </c>
    </row>
    <row r="126" spans="1:7" x14ac:dyDescent="0.3">
      <c r="A126" s="17">
        <v>102840</v>
      </c>
      <c r="B126" t="str">
        <f>VLOOKUP(Table4[[#This Row],[Employee ID]],Tbl_Employee_Details[],4,0)</f>
        <v>Female</v>
      </c>
      <c r="C126" t="str">
        <f>VLOOKUP(Table4[[#This Row],[Employee ID]],Tbl_Employee_Details[],7,)</f>
        <v>Czech Republic</v>
      </c>
      <c r="D126" t="str">
        <f>VLOOKUP(Table4[[#This Row],[Employee ID]],Tbl_Employee_Details[],17,FALSE)</f>
        <v>Quality Assurance</v>
      </c>
      <c r="E126" s="6">
        <f ca="1">VLOOKUP(Table4[[#This Row],[Employee ID]],Tbl_Employee_Details[],16,FALSE)</f>
        <v>39.825000000000003</v>
      </c>
      <c r="F126" t="str">
        <f>VLOOKUP(Table4[[#This Row],[Employee ID]],Tbl_Employee_Details[],18,FALSE)</f>
        <v>Mumbai</v>
      </c>
      <c r="G126" t="str">
        <f>VLOOKUP(Table4[[#This Row],[Employee ID]],Tbl_Emp_Onboarding[],8,FALSE)</f>
        <v>Student</v>
      </c>
    </row>
    <row r="127" spans="1:7" x14ac:dyDescent="0.3">
      <c r="A127" s="17">
        <v>104010</v>
      </c>
      <c r="B127" t="str">
        <f>VLOOKUP(Table4[[#This Row],[Employee ID]],Tbl_Employee_Details[],4,0)</f>
        <v>Male</v>
      </c>
      <c r="C127" t="str">
        <f>VLOOKUP(Table4[[#This Row],[Employee ID]],Tbl_Employee_Details[],7,)</f>
        <v>Japan</v>
      </c>
      <c r="D127" t="str">
        <f>VLOOKUP(Table4[[#This Row],[Employee ID]],Tbl_Employee_Details[],17,FALSE)</f>
        <v>Quality Assurance</v>
      </c>
      <c r="E127" s="6">
        <f ca="1">VLOOKUP(Table4[[#This Row],[Employee ID]],Tbl_Employee_Details[],16,FALSE)</f>
        <v>39.549999999999997</v>
      </c>
      <c r="F127" t="str">
        <f>VLOOKUP(Table4[[#This Row],[Employee ID]],Tbl_Employee_Details[],18,FALSE)</f>
        <v>New York</v>
      </c>
      <c r="G127" t="str">
        <f>VLOOKUP(Table4[[#This Row],[Employee ID]],Tbl_Emp_Onboarding[],8,FALSE)</f>
        <v>Student</v>
      </c>
    </row>
    <row r="128" spans="1:7" x14ac:dyDescent="0.3">
      <c r="A128" s="17">
        <v>105783</v>
      </c>
      <c r="B128" t="str">
        <f>VLOOKUP(Table4[[#This Row],[Employee ID]],Tbl_Employee_Details[],4,0)</f>
        <v>Female</v>
      </c>
      <c r="C128" t="str">
        <f>VLOOKUP(Table4[[#This Row],[Employee ID]],Tbl_Employee_Details[],7,)</f>
        <v>Finland</v>
      </c>
      <c r="D128" t="str">
        <f>VLOOKUP(Table4[[#This Row],[Employee ID]],Tbl_Employee_Details[],17,FALSE)</f>
        <v>Quality Assurance</v>
      </c>
      <c r="E128" s="6">
        <f ca="1">VLOOKUP(Table4[[#This Row],[Employee ID]],Tbl_Employee_Details[],16,FALSE)</f>
        <v>23.877777777777776</v>
      </c>
      <c r="F128" t="str">
        <f>VLOOKUP(Table4[[#This Row],[Employee ID]],Tbl_Employee_Details[],18,FALSE)</f>
        <v>London</v>
      </c>
      <c r="G128" t="str">
        <f>VLOOKUP(Table4[[#This Row],[Employee ID]],Tbl_Emp_Onboarding[],8,FALSE)</f>
        <v>Graduation/Bachelors</v>
      </c>
    </row>
    <row r="129" spans="1:7" x14ac:dyDescent="0.3">
      <c r="A129" s="17">
        <v>104134</v>
      </c>
      <c r="B129" t="str">
        <f>VLOOKUP(Table4[[#This Row],[Employee ID]],Tbl_Employee_Details[],4,0)</f>
        <v>Female</v>
      </c>
      <c r="C129" t="str">
        <f>VLOOKUP(Table4[[#This Row],[Employee ID]],Tbl_Employee_Details[],7,)</f>
        <v>Russia</v>
      </c>
      <c r="D129" t="str">
        <f>VLOOKUP(Table4[[#This Row],[Employee ID]],Tbl_Employee_Details[],17,FALSE)</f>
        <v>Finance</v>
      </c>
      <c r="E129" s="6">
        <f ca="1">VLOOKUP(Table4[[#This Row],[Employee ID]],Tbl_Employee_Details[],16,FALSE)</f>
        <v>40.480555555555554</v>
      </c>
      <c r="F129" t="str">
        <f>VLOOKUP(Table4[[#This Row],[Employee ID]],Tbl_Employee_Details[],18,FALSE)</f>
        <v>Dubai</v>
      </c>
      <c r="G129" t="str">
        <f>VLOOKUP(Table4[[#This Row],[Employee ID]],Tbl_Emp_Onboarding[],8,FALSE)</f>
        <v>PHD</v>
      </c>
    </row>
    <row r="130" spans="1:7" x14ac:dyDescent="0.3">
      <c r="A130" s="17">
        <v>107291</v>
      </c>
      <c r="B130" t="str">
        <f>VLOOKUP(Table4[[#This Row],[Employee ID]],Tbl_Employee_Details[],4,0)</f>
        <v>Male</v>
      </c>
      <c r="C130" t="str">
        <f>VLOOKUP(Table4[[#This Row],[Employee ID]],Tbl_Employee_Details[],7,)</f>
        <v>United States</v>
      </c>
      <c r="D130" t="str">
        <f>VLOOKUP(Table4[[#This Row],[Employee ID]],Tbl_Employee_Details[],17,FALSE)</f>
        <v>Quality Assurance</v>
      </c>
      <c r="E130" s="6">
        <f ca="1">VLOOKUP(Table4[[#This Row],[Employee ID]],Tbl_Employee_Details[],16,FALSE)</f>
        <v>27.172222222222221</v>
      </c>
      <c r="F130" t="str">
        <f>VLOOKUP(Table4[[#This Row],[Employee ID]],Tbl_Employee_Details[],18,FALSE)</f>
        <v>Mumbai</v>
      </c>
      <c r="G130" t="str">
        <f>VLOOKUP(Table4[[#This Row],[Employee ID]],Tbl_Emp_Onboarding[],8,FALSE)</f>
        <v>Student</v>
      </c>
    </row>
    <row r="131" spans="1:7" x14ac:dyDescent="0.3">
      <c r="A131" s="17">
        <v>107232</v>
      </c>
      <c r="B131" t="str">
        <f>VLOOKUP(Table4[[#This Row],[Employee ID]],Tbl_Employee_Details[],4,0)</f>
        <v>Male</v>
      </c>
      <c r="C131" t="str">
        <f>VLOOKUP(Table4[[#This Row],[Employee ID]],Tbl_Employee_Details[],7,)</f>
        <v>India</v>
      </c>
      <c r="D131" t="str">
        <f>VLOOKUP(Table4[[#This Row],[Employee ID]],Tbl_Employee_Details[],17,FALSE)</f>
        <v>Quality Assurance</v>
      </c>
      <c r="E131" s="6">
        <f ca="1">VLOOKUP(Table4[[#This Row],[Employee ID]],Tbl_Employee_Details[],16,FALSE)</f>
        <v>43.44166666666667</v>
      </c>
      <c r="F131" t="str">
        <f>VLOOKUP(Table4[[#This Row],[Employee ID]],Tbl_Employee_Details[],18,FALSE)</f>
        <v>Dubai</v>
      </c>
      <c r="G131" t="str">
        <f>VLOOKUP(Table4[[#This Row],[Employee ID]],Tbl_Emp_Onboarding[],8,FALSE)</f>
        <v>NA</v>
      </c>
    </row>
    <row r="132" spans="1:7" x14ac:dyDescent="0.3">
      <c r="A132" s="17">
        <v>104192</v>
      </c>
      <c r="B132" t="str">
        <f>VLOOKUP(Table4[[#This Row],[Employee ID]],Tbl_Employee_Details[],4,0)</f>
        <v>Female</v>
      </c>
      <c r="C132" t="str">
        <f>VLOOKUP(Table4[[#This Row],[Employee ID]],Tbl_Employee_Details[],7,)</f>
        <v>Portugal</v>
      </c>
      <c r="D132" t="str">
        <f>VLOOKUP(Table4[[#This Row],[Employee ID]],Tbl_Employee_Details[],17,FALSE)</f>
        <v>Quality Assurance</v>
      </c>
      <c r="E132" s="6">
        <f ca="1">VLOOKUP(Table4[[#This Row],[Employee ID]],Tbl_Employee_Details[],16,FALSE)</f>
        <v>34.62777777777778</v>
      </c>
      <c r="F132" t="str">
        <f>VLOOKUP(Table4[[#This Row],[Employee ID]],Tbl_Employee_Details[],18,FALSE)</f>
        <v>New York</v>
      </c>
      <c r="G132" t="str">
        <f>VLOOKUP(Table4[[#This Row],[Employee ID]],Tbl_Emp_Onboarding[],8,FALSE)</f>
        <v>NA</v>
      </c>
    </row>
    <row r="133" spans="1:7" x14ac:dyDescent="0.3">
      <c r="A133" s="17">
        <v>106563</v>
      </c>
      <c r="B133" t="str">
        <f>VLOOKUP(Table4[[#This Row],[Employee ID]],Tbl_Employee_Details[],4,0)</f>
        <v>Female</v>
      </c>
      <c r="C133" t="str">
        <f>VLOOKUP(Table4[[#This Row],[Employee ID]],Tbl_Employee_Details[],7,)</f>
        <v>Philippines</v>
      </c>
      <c r="D133" t="str">
        <f>VLOOKUP(Table4[[#This Row],[Employee ID]],Tbl_Employee_Details[],17,FALSE)</f>
        <v>Marketing</v>
      </c>
      <c r="E133" s="6">
        <f ca="1">VLOOKUP(Table4[[#This Row],[Employee ID]],Tbl_Employee_Details[],16,FALSE)</f>
        <v>39.68333333333333</v>
      </c>
      <c r="F133" t="str">
        <f>VLOOKUP(Table4[[#This Row],[Employee ID]],Tbl_Employee_Details[],18,FALSE)</f>
        <v>Bangalore</v>
      </c>
      <c r="G133" t="str">
        <f>VLOOKUP(Table4[[#This Row],[Employee ID]],Tbl_Emp_Onboarding[],8,FALSE)</f>
        <v>PHD</v>
      </c>
    </row>
    <row r="134" spans="1:7" x14ac:dyDescent="0.3">
      <c r="A134" s="17">
        <v>103468</v>
      </c>
      <c r="B134" t="str">
        <f>VLOOKUP(Table4[[#This Row],[Employee ID]],Tbl_Employee_Details[],4,0)</f>
        <v>Female</v>
      </c>
      <c r="C134" t="str">
        <f>VLOOKUP(Table4[[#This Row],[Employee ID]],Tbl_Employee_Details[],7,)</f>
        <v>Mexico</v>
      </c>
      <c r="D134" t="str">
        <f>VLOOKUP(Table4[[#This Row],[Employee ID]],Tbl_Employee_Details[],17,FALSE)</f>
        <v>Quality Assurance</v>
      </c>
      <c r="E134" s="6">
        <f ca="1">VLOOKUP(Table4[[#This Row],[Employee ID]],Tbl_Employee_Details[],16,FALSE)</f>
        <v>33.00277777777778</v>
      </c>
      <c r="F134" t="str">
        <f>VLOOKUP(Table4[[#This Row],[Employee ID]],Tbl_Employee_Details[],18,FALSE)</f>
        <v>Bangalore</v>
      </c>
      <c r="G134" t="str">
        <f>VLOOKUP(Table4[[#This Row],[Employee ID]],Tbl_Emp_Onboarding[],8,FALSE)</f>
        <v>Student</v>
      </c>
    </row>
    <row r="135" spans="1:7" x14ac:dyDescent="0.3">
      <c r="A135" s="17">
        <v>107984</v>
      </c>
      <c r="B135" t="str">
        <f>VLOOKUP(Table4[[#This Row],[Employee ID]],Tbl_Employee_Details[],4,0)</f>
        <v>Male</v>
      </c>
      <c r="C135" t="str">
        <f>VLOOKUP(Table4[[#This Row],[Employee ID]],Tbl_Employee_Details[],7,)</f>
        <v>Vietnam</v>
      </c>
      <c r="D135" t="str">
        <f>VLOOKUP(Table4[[#This Row],[Employee ID]],Tbl_Employee_Details[],17,FALSE)</f>
        <v>Organizational</v>
      </c>
      <c r="E135" s="6">
        <f ca="1">VLOOKUP(Table4[[#This Row],[Employee ID]],Tbl_Employee_Details[],16,FALSE)</f>
        <v>39.911111111111111</v>
      </c>
      <c r="F135" t="str">
        <f>VLOOKUP(Table4[[#This Row],[Employee ID]],Tbl_Employee_Details[],18,FALSE)</f>
        <v>Toulouse</v>
      </c>
      <c r="G135" t="str">
        <f>VLOOKUP(Table4[[#This Row],[Employee ID]],Tbl_Emp_Onboarding[],8,FALSE)</f>
        <v>PHD</v>
      </c>
    </row>
    <row r="136" spans="1:7" x14ac:dyDescent="0.3">
      <c r="A136" s="17">
        <v>103531</v>
      </c>
      <c r="B136" t="str">
        <f>VLOOKUP(Table4[[#This Row],[Employee ID]],Tbl_Employee_Details[],4,0)</f>
        <v>Male</v>
      </c>
      <c r="C136" t="str">
        <f>VLOOKUP(Table4[[#This Row],[Employee ID]],Tbl_Employee_Details[],7,)</f>
        <v>Japan</v>
      </c>
      <c r="D136" t="str">
        <f>VLOOKUP(Table4[[#This Row],[Employee ID]],Tbl_Employee_Details[],17,FALSE)</f>
        <v>Quality Assurance</v>
      </c>
      <c r="E136" s="6">
        <f ca="1">VLOOKUP(Table4[[#This Row],[Employee ID]],Tbl_Employee_Details[],16,FALSE)</f>
        <v>36.12777777777778</v>
      </c>
      <c r="F136" t="str">
        <f>VLOOKUP(Table4[[#This Row],[Employee ID]],Tbl_Employee_Details[],18,FALSE)</f>
        <v>Dubai</v>
      </c>
      <c r="G136" t="str">
        <f>VLOOKUP(Table4[[#This Row],[Employee ID]],Tbl_Emp_Onboarding[],8,FALSE)</f>
        <v>Student</v>
      </c>
    </row>
    <row r="137" spans="1:7" x14ac:dyDescent="0.3">
      <c r="A137" s="17">
        <v>107666</v>
      </c>
      <c r="B137" t="str">
        <f>VLOOKUP(Table4[[#This Row],[Employee ID]],Tbl_Employee_Details[],4,0)</f>
        <v>Male</v>
      </c>
      <c r="C137" t="str">
        <f>VLOOKUP(Table4[[#This Row],[Employee ID]],Tbl_Employee_Details[],7,)</f>
        <v>Israel</v>
      </c>
      <c r="D137" t="str">
        <f>VLOOKUP(Table4[[#This Row],[Employee ID]],Tbl_Employee_Details[],17,FALSE)</f>
        <v>Sales</v>
      </c>
      <c r="E137" s="6">
        <f ca="1">VLOOKUP(Table4[[#This Row],[Employee ID]],Tbl_Employee_Details[],16,FALSE)</f>
        <v>43.536111111111111</v>
      </c>
      <c r="F137" t="str">
        <f>VLOOKUP(Table4[[#This Row],[Employee ID]],Tbl_Employee_Details[],18,FALSE)</f>
        <v>Bangalore</v>
      </c>
      <c r="G137" t="str">
        <f>VLOOKUP(Table4[[#This Row],[Employee ID]],Tbl_Emp_Onboarding[],8,FALSE)</f>
        <v>Post Graduation/Masters</v>
      </c>
    </row>
    <row r="138" spans="1:7" x14ac:dyDescent="0.3">
      <c r="A138" s="17">
        <v>103162</v>
      </c>
      <c r="B138" t="str">
        <f>VLOOKUP(Table4[[#This Row],[Employee ID]],Tbl_Employee_Details[],4,0)</f>
        <v>Male</v>
      </c>
      <c r="C138" t="str">
        <f>VLOOKUP(Table4[[#This Row],[Employee ID]],Tbl_Employee_Details[],7,)</f>
        <v>Philippines</v>
      </c>
      <c r="D138" t="str">
        <f>VLOOKUP(Table4[[#This Row],[Employee ID]],Tbl_Employee_Details[],17,FALSE)</f>
        <v>Quality Assurance</v>
      </c>
      <c r="E138" s="6">
        <f ca="1">VLOOKUP(Table4[[#This Row],[Employee ID]],Tbl_Employee_Details[],16,FALSE)</f>
        <v>42.836111111111109</v>
      </c>
      <c r="F138" t="str">
        <f>VLOOKUP(Table4[[#This Row],[Employee ID]],Tbl_Employee_Details[],18,FALSE)</f>
        <v>California</v>
      </c>
      <c r="G138" t="str">
        <f>VLOOKUP(Table4[[#This Row],[Employee ID]],Tbl_Emp_Onboarding[],8,FALSE)</f>
        <v>Student</v>
      </c>
    </row>
    <row r="139" spans="1:7" x14ac:dyDescent="0.3">
      <c r="A139" s="17">
        <v>107352</v>
      </c>
      <c r="B139" t="str">
        <f>VLOOKUP(Table4[[#This Row],[Employee ID]],Tbl_Employee_Details[],4,0)</f>
        <v>Female</v>
      </c>
      <c r="C139" t="str">
        <f>VLOOKUP(Table4[[#This Row],[Employee ID]],Tbl_Employee_Details[],7,)</f>
        <v>Poland</v>
      </c>
      <c r="D139" t="str">
        <f>VLOOKUP(Table4[[#This Row],[Employee ID]],Tbl_Employee_Details[],17,FALSE)</f>
        <v>Quality Assurance</v>
      </c>
      <c r="E139" s="6">
        <f ca="1">VLOOKUP(Table4[[#This Row],[Employee ID]],Tbl_Employee_Details[],16,FALSE)</f>
        <v>37.75</v>
      </c>
      <c r="F139" t="str">
        <f>VLOOKUP(Table4[[#This Row],[Employee ID]],Tbl_Employee_Details[],18,FALSE)</f>
        <v>New York</v>
      </c>
      <c r="G139" t="str">
        <f>VLOOKUP(Table4[[#This Row],[Employee ID]],Tbl_Emp_Onboarding[],8,FALSE)</f>
        <v>NA</v>
      </c>
    </row>
    <row r="140" spans="1:7" x14ac:dyDescent="0.3">
      <c r="A140" s="17">
        <v>107436</v>
      </c>
      <c r="B140" t="str">
        <f>VLOOKUP(Table4[[#This Row],[Employee ID]],Tbl_Employee_Details[],4,0)</f>
        <v>Female</v>
      </c>
      <c r="C140" t="str">
        <f>VLOOKUP(Table4[[#This Row],[Employee ID]],Tbl_Employee_Details[],7,)</f>
        <v>Philippines</v>
      </c>
      <c r="D140" t="str">
        <f>VLOOKUP(Table4[[#This Row],[Employee ID]],Tbl_Employee_Details[],17,FALSE)</f>
        <v>Organizational</v>
      </c>
      <c r="E140" s="6">
        <f ca="1">VLOOKUP(Table4[[#This Row],[Employee ID]],Tbl_Employee_Details[],16,FALSE)</f>
        <v>43.875</v>
      </c>
      <c r="F140" t="str">
        <f>VLOOKUP(Table4[[#This Row],[Employee ID]],Tbl_Employee_Details[],18,FALSE)</f>
        <v>Dubai</v>
      </c>
      <c r="G140" t="str">
        <f>VLOOKUP(Table4[[#This Row],[Employee ID]],Tbl_Emp_Onboarding[],8,FALSE)</f>
        <v>Post Graduation/Masters</v>
      </c>
    </row>
    <row r="141" spans="1:7" x14ac:dyDescent="0.3">
      <c r="A141" s="17">
        <v>107818</v>
      </c>
      <c r="B141" t="str">
        <f>VLOOKUP(Table4[[#This Row],[Employee ID]],Tbl_Employee_Details[],4,0)</f>
        <v>Male</v>
      </c>
      <c r="C141" t="str">
        <f>VLOOKUP(Table4[[#This Row],[Employee ID]],Tbl_Employee_Details[],7,)</f>
        <v>Russia</v>
      </c>
      <c r="D141" t="str">
        <f>VLOOKUP(Table4[[#This Row],[Employee ID]],Tbl_Employee_Details[],17,FALSE)</f>
        <v>Operational</v>
      </c>
      <c r="E141" s="6">
        <f ca="1">VLOOKUP(Table4[[#This Row],[Employee ID]],Tbl_Employee_Details[],16,FALSE)</f>
        <v>39.238888888888887</v>
      </c>
      <c r="F141" t="str">
        <f>VLOOKUP(Table4[[#This Row],[Employee ID]],Tbl_Employee_Details[],18,FALSE)</f>
        <v>Bangalore</v>
      </c>
      <c r="G141" t="str">
        <f>VLOOKUP(Table4[[#This Row],[Employee ID]],Tbl_Emp_Onboarding[],8,FALSE)</f>
        <v>PHD</v>
      </c>
    </row>
    <row r="142" spans="1:7" x14ac:dyDescent="0.3">
      <c r="A142" s="17">
        <v>105225</v>
      </c>
      <c r="B142" t="str">
        <f>VLOOKUP(Table4[[#This Row],[Employee ID]],Tbl_Employee_Details[],4,0)</f>
        <v>Male</v>
      </c>
      <c r="C142" t="str">
        <f>VLOOKUP(Table4[[#This Row],[Employee ID]],Tbl_Employee_Details[],7,)</f>
        <v>China</v>
      </c>
      <c r="D142" t="str">
        <f>VLOOKUP(Table4[[#This Row],[Employee ID]],Tbl_Employee_Details[],17,FALSE)</f>
        <v>Quality Assurance</v>
      </c>
      <c r="E142" s="6">
        <f ca="1">VLOOKUP(Table4[[#This Row],[Employee ID]],Tbl_Employee_Details[],16,FALSE)</f>
        <v>38.241666666666667</v>
      </c>
      <c r="F142" t="str">
        <f>VLOOKUP(Table4[[#This Row],[Employee ID]],Tbl_Employee_Details[],18,FALSE)</f>
        <v>Mumbai</v>
      </c>
      <c r="G142" t="str">
        <f>VLOOKUP(Table4[[#This Row],[Employee ID]],Tbl_Emp_Onboarding[],8,FALSE)</f>
        <v>NA</v>
      </c>
    </row>
    <row r="143" spans="1:7" x14ac:dyDescent="0.3">
      <c r="A143" s="17">
        <v>103636</v>
      </c>
      <c r="B143" t="str">
        <f>VLOOKUP(Table4[[#This Row],[Employee ID]],Tbl_Employee_Details[],4,0)</f>
        <v>Female</v>
      </c>
      <c r="C143" t="str">
        <f>VLOOKUP(Table4[[#This Row],[Employee ID]],Tbl_Employee_Details[],7,)</f>
        <v>Philippines</v>
      </c>
      <c r="D143" t="str">
        <f>VLOOKUP(Table4[[#This Row],[Employee ID]],Tbl_Employee_Details[],17,FALSE)</f>
        <v>IT &amp; Admin</v>
      </c>
      <c r="E143" s="6">
        <f ca="1">VLOOKUP(Table4[[#This Row],[Employee ID]],Tbl_Employee_Details[],16,FALSE)</f>
        <v>23.652777777777779</v>
      </c>
      <c r="F143" t="str">
        <f>VLOOKUP(Table4[[#This Row],[Employee ID]],Tbl_Employee_Details[],18,FALSE)</f>
        <v>New York</v>
      </c>
      <c r="G143" t="str">
        <f>VLOOKUP(Table4[[#This Row],[Employee ID]],Tbl_Emp_Onboarding[],8,FALSE)</f>
        <v>Post Graduation/Masters</v>
      </c>
    </row>
    <row r="144" spans="1:7" x14ac:dyDescent="0.3">
      <c r="A144" s="17">
        <v>104612</v>
      </c>
      <c r="B144" t="str">
        <f>VLOOKUP(Table4[[#This Row],[Employee ID]],Tbl_Employee_Details[],4,0)</f>
        <v>Male</v>
      </c>
      <c r="C144" t="str">
        <f>VLOOKUP(Table4[[#This Row],[Employee ID]],Tbl_Employee_Details[],7,)</f>
        <v>Indonesia</v>
      </c>
      <c r="D144" t="str">
        <f>VLOOKUP(Table4[[#This Row],[Employee ID]],Tbl_Employee_Details[],17,FALSE)</f>
        <v>Quality Assurance</v>
      </c>
      <c r="E144" s="6">
        <f ca="1">VLOOKUP(Table4[[#This Row],[Employee ID]],Tbl_Employee_Details[],16,FALSE)</f>
        <v>32.166666666666664</v>
      </c>
      <c r="F144" t="str">
        <f>VLOOKUP(Table4[[#This Row],[Employee ID]],Tbl_Employee_Details[],18,FALSE)</f>
        <v>Mumbai</v>
      </c>
      <c r="G144" t="str">
        <f>VLOOKUP(Table4[[#This Row],[Employee ID]],Tbl_Emp_Onboarding[],8,FALSE)</f>
        <v>Graduation/Bachelors</v>
      </c>
    </row>
    <row r="145" spans="1:7" x14ac:dyDescent="0.3">
      <c r="A145" s="17">
        <v>102401</v>
      </c>
      <c r="B145" t="str">
        <f>VLOOKUP(Table4[[#This Row],[Employee ID]],Tbl_Employee_Details[],4,0)</f>
        <v>Male</v>
      </c>
      <c r="C145" t="str">
        <f>VLOOKUP(Table4[[#This Row],[Employee ID]],Tbl_Employee_Details[],7,)</f>
        <v>Croatia</v>
      </c>
      <c r="D145" t="str">
        <f>VLOOKUP(Table4[[#This Row],[Employee ID]],Tbl_Employee_Details[],17,FALSE)</f>
        <v>IT &amp; Admin</v>
      </c>
      <c r="E145" s="6">
        <f ca="1">VLOOKUP(Table4[[#This Row],[Employee ID]],Tbl_Employee_Details[],16,FALSE)</f>
        <v>21.558333333333334</v>
      </c>
      <c r="F145" t="str">
        <f>VLOOKUP(Table4[[#This Row],[Employee ID]],Tbl_Employee_Details[],18,FALSE)</f>
        <v>Bangalore</v>
      </c>
      <c r="G145" t="str">
        <f>VLOOKUP(Table4[[#This Row],[Employee ID]],Tbl_Emp_Onboarding[],8,FALSE)</f>
        <v>Post Graduation/Masters</v>
      </c>
    </row>
    <row r="146" spans="1:7" x14ac:dyDescent="0.3">
      <c r="A146" s="17">
        <v>106466</v>
      </c>
      <c r="B146" t="str">
        <f>VLOOKUP(Table4[[#This Row],[Employee ID]],Tbl_Employee_Details[],4,0)</f>
        <v>Male</v>
      </c>
      <c r="C146" t="str">
        <f>VLOOKUP(Table4[[#This Row],[Employee ID]],Tbl_Employee_Details[],7,)</f>
        <v>Indonesia</v>
      </c>
      <c r="D146" t="str">
        <f>VLOOKUP(Table4[[#This Row],[Employee ID]],Tbl_Employee_Details[],17,FALSE)</f>
        <v>Quality Assurance</v>
      </c>
      <c r="E146" s="6">
        <f ca="1">VLOOKUP(Table4[[#This Row],[Employee ID]],Tbl_Employee_Details[],16,FALSE)</f>
        <v>33.591666666666669</v>
      </c>
      <c r="F146" t="str">
        <f>VLOOKUP(Table4[[#This Row],[Employee ID]],Tbl_Employee_Details[],18,FALSE)</f>
        <v>Mumbai</v>
      </c>
      <c r="G146" t="str">
        <f>VLOOKUP(Table4[[#This Row],[Employee ID]],Tbl_Emp_Onboarding[],8,FALSE)</f>
        <v>Undergrad</v>
      </c>
    </row>
    <row r="147" spans="1:7" x14ac:dyDescent="0.3">
      <c r="A147" s="17">
        <v>104917</v>
      </c>
      <c r="B147" t="str">
        <f>VLOOKUP(Table4[[#This Row],[Employee ID]],Tbl_Employee_Details[],4,0)</f>
        <v>Male</v>
      </c>
      <c r="C147" t="str">
        <f>VLOOKUP(Table4[[#This Row],[Employee ID]],Tbl_Employee_Details[],7,)</f>
        <v>Croatia</v>
      </c>
      <c r="D147" t="str">
        <f>VLOOKUP(Table4[[#This Row],[Employee ID]],Tbl_Employee_Details[],17,FALSE)</f>
        <v>Inventory</v>
      </c>
      <c r="E147" s="6">
        <f ca="1">VLOOKUP(Table4[[#This Row],[Employee ID]],Tbl_Employee_Details[],16,FALSE)</f>
        <v>44.65</v>
      </c>
      <c r="F147" t="str">
        <f>VLOOKUP(Table4[[#This Row],[Employee ID]],Tbl_Employee_Details[],18,FALSE)</f>
        <v>Bangalore</v>
      </c>
      <c r="G147" t="str">
        <f>VLOOKUP(Table4[[#This Row],[Employee ID]],Tbl_Emp_Onboarding[],8,FALSE)</f>
        <v>Post Graduation/Masters</v>
      </c>
    </row>
    <row r="148" spans="1:7" x14ac:dyDescent="0.3">
      <c r="A148" s="17">
        <v>107662</v>
      </c>
      <c r="B148" t="str">
        <f>VLOOKUP(Table4[[#This Row],[Employee ID]],Tbl_Employee_Details[],4,0)</f>
        <v>Male</v>
      </c>
      <c r="C148" t="str">
        <f>VLOOKUP(Table4[[#This Row],[Employee ID]],Tbl_Employee_Details[],7,)</f>
        <v>Vietnam</v>
      </c>
      <c r="D148" t="str">
        <f>VLOOKUP(Table4[[#This Row],[Employee ID]],Tbl_Employee_Details[],17,FALSE)</f>
        <v>Quality Assurance</v>
      </c>
      <c r="E148" s="6">
        <f ca="1">VLOOKUP(Table4[[#This Row],[Employee ID]],Tbl_Employee_Details[],16,FALSE)</f>
        <v>35.019444444444446</v>
      </c>
      <c r="F148" t="str">
        <f>VLOOKUP(Table4[[#This Row],[Employee ID]],Tbl_Employee_Details[],18,FALSE)</f>
        <v>New York</v>
      </c>
      <c r="G148" t="str">
        <f>VLOOKUP(Table4[[#This Row],[Employee ID]],Tbl_Emp_Onboarding[],8,FALSE)</f>
        <v>NA</v>
      </c>
    </row>
    <row r="149" spans="1:7" x14ac:dyDescent="0.3">
      <c r="A149" s="17">
        <v>105592</v>
      </c>
      <c r="B149" t="str">
        <f>VLOOKUP(Table4[[#This Row],[Employee ID]],Tbl_Employee_Details[],4,0)</f>
        <v>Male</v>
      </c>
      <c r="C149" t="str">
        <f>VLOOKUP(Table4[[#This Row],[Employee ID]],Tbl_Employee_Details[],7,)</f>
        <v>Czech Republic</v>
      </c>
      <c r="D149" t="str">
        <f>VLOOKUP(Table4[[#This Row],[Employee ID]],Tbl_Employee_Details[],17,FALSE)</f>
        <v>Quality Assurance</v>
      </c>
      <c r="E149" s="6">
        <f ca="1">VLOOKUP(Table4[[#This Row],[Employee ID]],Tbl_Employee_Details[],16,FALSE)</f>
        <v>18.272222222222222</v>
      </c>
      <c r="F149" t="str">
        <f>VLOOKUP(Table4[[#This Row],[Employee ID]],Tbl_Employee_Details[],18,FALSE)</f>
        <v>Toulouse</v>
      </c>
      <c r="G149" t="str">
        <f>VLOOKUP(Table4[[#This Row],[Employee ID]],Tbl_Emp_Onboarding[],8,FALSE)</f>
        <v>Graduation/Bachelors</v>
      </c>
    </row>
    <row r="150" spans="1:7" x14ac:dyDescent="0.3">
      <c r="A150" s="17">
        <v>105261</v>
      </c>
      <c r="B150" t="str">
        <f>VLOOKUP(Table4[[#This Row],[Employee ID]],Tbl_Employee_Details[],4,0)</f>
        <v>Female</v>
      </c>
      <c r="C150" t="str">
        <f>VLOOKUP(Table4[[#This Row],[Employee ID]],Tbl_Employee_Details[],7,)</f>
        <v>China</v>
      </c>
      <c r="D150" t="str">
        <f>VLOOKUP(Table4[[#This Row],[Employee ID]],Tbl_Employee_Details[],17,FALSE)</f>
        <v>Finance</v>
      </c>
      <c r="E150" s="6">
        <f ca="1">VLOOKUP(Table4[[#This Row],[Employee ID]],Tbl_Employee_Details[],16,FALSE)</f>
        <v>35.427777777777777</v>
      </c>
      <c r="F150" t="str">
        <f>VLOOKUP(Table4[[#This Row],[Employee ID]],Tbl_Employee_Details[],18,FALSE)</f>
        <v>Mumbai</v>
      </c>
      <c r="G150" t="str">
        <f>VLOOKUP(Table4[[#This Row],[Employee ID]],Tbl_Emp_Onboarding[],8,FALSE)</f>
        <v>PHD</v>
      </c>
    </row>
    <row r="151" spans="1:7" x14ac:dyDescent="0.3">
      <c r="A151" s="17">
        <v>107116</v>
      </c>
      <c r="B151" t="str">
        <f>VLOOKUP(Table4[[#This Row],[Employee ID]],Tbl_Employee_Details[],4,0)</f>
        <v>Female</v>
      </c>
      <c r="C151" t="str">
        <f>VLOOKUP(Table4[[#This Row],[Employee ID]],Tbl_Employee_Details[],7,)</f>
        <v>Egypt</v>
      </c>
      <c r="D151" t="str">
        <f>VLOOKUP(Table4[[#This Row],[Employee ID]],Tbl_Employee_Details[],17,FALSE)</f>
        <v>Organizational</v>
      </c>
      <c r="E151" s="6">
        <f ca="1">VLOOKUP(Table4[[#This Row],[Employee ID]],Tbl_Employee_Details[],16,FALSE)</f>
        <v>18.68611111111111</v>
      </c>
      <c r="F151" t="str">
        <f>VLOOKUP(Table4[[#This Row],[Employee ID]],Tbl_Employee_Details[],18,FALSE)</f>
        <v>London</v>
      </c>
      <c r="G151" t="str">
        <f>VLOOKUP(Table4[[#This Row],[Employee ID]],Tbl_Emp_Onboarding[],8,FALSE)</f>
        <v>PHD</v>
      </c>
    </row>
    <row r="152" spans="1:7" x14ac:dyDescent="0.3">
      <c r="A152" s="17">
        <v>104240</v>
      </c>
      <c r="B152" t="str">
        <f>VLOOKUP(Table4[[#This Row],[Employee ID]],Tbl_Employee_Details[],4,0)</f>
        <v>Male</v>
      </c>
      <c r="C152" t="str">
        <f>VLOOKUP(Table4[[#This Row],[Employee ID]],Tbl_Employee_Details[],7,)</f>
        <v>United States</v>
      </c>
      <c r="D152" t="str">
        <f>VLOOKUP(Table4[[#This Row],[Employee ID]],Tbl_Employee_Details[],17,FALSE)</f>
        <v>Finance</v>
      </c>
      <c r="E152" s="6">
        <f ca="1">VLOOKUP(Table4[[#This Row],[Employee ID]],Tbl_Employee_Details[],16,FALSE)</f>
        <v>35.113888888888887</v>
      </c>
      <c r="F152" t="str">
        <f>VLOOKUP(Table4[[#This Row],[Employee ID]],Tbl_Employee_Details[],18,FALSE)</f>
        <v>Mumbai</v>
      </c>
      <c r="G152" t="str">
        <f>VLOOKUP(Table4[[#This Row],[Employee ID]],Tbl_Emp_Onboarding[],8,FALSE)</f>
        <v>PHD</v>
      </c>
    </row>
    <row r="153" spans="1:7" x14ac:dyDescent="0.3">
      <c r="A153" s="17">
        <v>107547</v>
      </c>
      <c r="B153" t="str">
        <f>VLOOKUP(Table4[[#This Row],[Employee ID]],Tbl_Employee_Details[],4,0)</f>
        <v>Male</v>
      </c>
      <c r="C153" t="str">
        <f>VLOOKUP(Table4[[#This Row],[Employee ID]],Tbl_Employee_Details[],7,)</f>
        <v>Indonesia</v>
      </c>
      <c r="D153" t="str">
        <f>VLOOKUP(Table4[[#This Row],[Employee ID]],Tbl_Employee_Details[],17,FALSE)</f>
        <v>Operational</v>
      </c>
      <c r="E153" s="6">
        <f ca="1">VLOOKUP(Table4[[#This Row],[Employee ID]],Tbl_Employee_Details[],16,FALSE)</f>
        <v>27.402777777777779</v>
      </c>
      <c r="F153" t="str">
        <f>VLOOKUP(Table4[[#This Row],[Employee ID]],Tbl_Employee_Details[],18,FALSE)</f>
        <v>New York</v>
      </c>
      <c r="G153" t="str">
        <f>VLOOKUP(Table4[[#This Row],[Employee ID]],Tbl_Emp_Onboarding[],8,FALSE)</f>
        <v>NA</v>
      </c>
    </row>
    <row r="154" spans="1:7" x14ac:dyDescent="0.3">
      <c r="A154" s="17">
        <v>105204</v>
      </c>
      <c r="B154" t="str">
        <f>VLOOKUP(Table4[[#This Row],[Employee ID]],Tbl_Employee_Details[],4,0)</f>
        <v>Male</v>
      </c>
      <c r="C154" t="str">
        <f>VLOOKUP(Table4[[#This Row],[Employee ID]],Tbl_Employee_Details[],7,)</f>
        <v>India</v>
      </c>
      <c r="D154" t="str">
        <f>VLOOKUP(Table4[[#This Row],[Employee ID]],Tbl_Employee_Details[],17,FALSE)</f>
        <v>Operational</v>
      </c>
      <c r="E154" s="6">
        <f ca="1">VLOOKUP(Table4[[#This Row],[Employee ID]],Tbl_Employee_Details[],16,FALSE)</f>
        <v>25.3</v>
      </c>
      <c r="F154" t="str">
        <f>VLOOKUP(Table4[[#This Row],[Employee ID]],Tbl_Employee_Details[],18,FALSE)</f>
        <v>Toulouse</v>
      </c>
      <c r="G154" t="str">
        <f>VLOOKUP(Table4[[#This Row],[Employee ID]],Tbl_Emp_Onboarding[],8,FALSE)</f>
        <v>NA</v>
      </c>
    </row>
    <row r="155" spans="1:7" x14ac:dyDescent="0.3">
      <c r="A155" s="17">
        <v>104305</v>
      </c>
      <c r="B155" t="str">
        <f>VLOOKUP(Table4[[#This Row],[Employee ID]],Tbl_Employee_Details[],4,0)</f>
        <v>Female</v>
      </c>
      <c r="C155" t="str">
        <f>VLOOKUP(Table4[[#This Row],[Employee ID]],Tbl_Employee_Details[],7,)</f>
        <v>Israel</v>
      </c>
      <c r="D155" t="str">
        <f>VLOOKUP(Table4[[#This Row],[Employee ID]],Tbl_Employee_Details[],17,FALSE)</f>
        <v>Operational</v>
      </c>
      <c r="E155" s="6">
        <f ca="1">VLOOKUP(Table4[[#This Row],[Employee ID]],Tbl_Employee_Details[],16,FALSE)</f>
        <v>29.077777777777779</v>
      </c>
      <c r="F155" t="str">
        <f>VLOOKUP(Table4[[#This Row],[Employee ID]],Tbl_Employee_Details[],18,FALSE)</f>
        <v>Bangalore</v>
      </c>
      <c r="G155" t="str">
        <f>VLOOKUP(Table4[[#This Row],[Employee ID]],Tbl_Emp_Onboarding[],8,FALSE)</f>
        <v>Student</v>
      </c>
    </row>
    <row r="156" spans="1:7" x14ac:dyDescent="0.3">
      <c r="A156" s="17">
        <v>103624</v>
      </c>
      <c r="B156" t="str">
        <f>VLOOKUP(Table4[[#This Row],[Employee ID]],Tbl_Employee_Details[],4,0)</f>
        <v>Female</v>
      </c>
      <c r="C156" t="str">
        <f>VLOOKUP(Table4[[#This Row],[Employee ID]],Tbl_Employee_Details[],7,)</f>
        <v>Poland</v>
      </c>
      <c r="D156" t="str">
        <f>VLOOKUP(Table4[[#This Row],[Employee ID]],Tbl_Employee_Details[],17,FALSE)</f>
        <v>Operational</v>
      </c>
      <c r="E156" s="6">
        <f ca="1">VLOOKUP(Table4[[#This Row],[Employee ID]],Tbl_Employee_Details[],16,FALSE)</f>
        <v>20.844444444444445</v>
      </c>
      <c r="F156" t="str">
        <f>VLOOKUP(Table4[[#This Row],[Employee ID]],Tbl_Employee_Details[],18,FALSE)</f>
        <v>Paris</v>
      </c>
      <c r="G156" t="str">
        <f>VLOOKUP(Table4[[#This Row],[Employee ID]],Tbl_Emp_Onboarding[],8,FALSE)</f>
        <v>Graduation/Bachelors</v>
      </c>
    </row>
    <row r="157" spans="1:7" x14ac:dyDescent="0.3">
      <c r="A157" s="17">
        <v>106787</v>
      </c>
      <c r="B157" t="str">
        <f>VLOOKUP(Table4[[#This Row],[Employee ID]],Tbl_Employee_Details[],4,0)</f>
        <v>Male</v>
      </c>
      <c r="C157" t="str">
        <f>VLOOKUP(Table4[[#This Row],[Employee ID]],Tbl_Employee_Details[],7,)</f>
        <v>China</v>
      </c>
      <c r="D157" t="str">
        <f>VLOOKUP(Table4[[#This Row],[Employee ID]],Tbl_Employee_Details[],17,FALSE)</f>
        <v>Operational</v>
      </c>
      <c r="E157" s="6">
        <f ca="1">VLOOKUP(Table4[[#This Row],[Employee ID]],Tbl_Employee_Details[],16,FALSE)</f>
        <v>36.088888888888889</v>
      </c>
      <c r="F157" t="str">
        <f>VLOOKUP(Table4[[#This Row],[Employee ID]],Tbl_Employee_Details[],18,FALSE)</f>
        <v>Bangalore</v>
      </c>
      <c r="G157" t="str">
        <f>VLOOKUP(Table4[[#This Row],[Employee ID]],Tbl_Emp_Onboarding[],8,FALSE)</f>
        <v>Student</v>
      </c>
    </row>
    <row r="158" spans="1:7" x14ac:dyDescent="0.3">
      <c r="A158" s="17">
        <v>106080</v>
      </c>
      <c r="B158" t="str">
        <f>VLOOKUP(Table4[[#This Row],[Employee ID]],Tbl_Employee_Details[],4,0)</f>
        <v>Female</v>
      </c>
      <c r="C158" t="str">
        <f>VLOOKUP(Table4[[#This Row],[Employee ID]],Tbl_Employee_Details[],7,)</f>
        <v>Greece</v>
      </c>
      <c r="D158" t="str">
        <f>VLOOKUP(Table4[[#This Row],[Employee ID]],Tbl_Employee_Details[],17,FALSE)</f>
        <v>Organizational</v>
      </c>
      <c r="E158" s="6">
        <f ca="1">VLOOKUP(Table4[[#This Row],[Employee ID]],Tbl_Employee_Details[],16,FALSE)</f>
        <v>19.019444444444446</v>
      </c>
      <c r="F158" t="str">
        <f>VLOOKUP(Table4[[#This Row],[Employee ID]],Tbl_Employee_Details[],18,FALSE)</f>
        <v>Toulouse</v>
      </c>
      <c r="G158" t="str">
        <f>VLOOKUP(Table4[[#This Row],[Employee ID]],Tbl_Emp_Onboarding[],8,FALSE)</f>
        <v>PHD</v>
      </c>
    </row>
    <row r="159" spans="1:7" x14ac:dyDescent="0.3">
      <c r="A159" s="17">
        <v>103488</v>
      </c>
      <c r="B159" t="str">
        <f>VLOOKUP(Table4[[#This Row],[Employee ID]],Tbl_Employee_Details[],4,0)</f>
        <v>Female</v>
      </c>
      <c r="C159" t="str">
        <f>VLOOKUP(Table4[[#This Row],[Employee ID]],Tbl_Employee_Details[],7,)</f>
        <v>China</v>
      </c>
      <c r="D159" t="str">
        <f>VLOOKUP(Table4[[#This Row],[Employee ID]],Tbl_Employee_Details[],17,FALSE)</f>
        <v>Operational</v>
      </c>
      <c r="E159" s="6">
        <f ca="1">VLOOKUP(Table4[[#This Row],[Employee ID]],Tbl_Employee_Details[],16,FALSE)</f>
        <v>26.672222222222221</v>
      </c>
      <c r="F159" t="str">
        <f>VLOOKUP(Table4[[#This Row],[Employee ID]],Tbl_Employee_Details[],18,FALSE)</f>
        <v>Mumbai</v>
      </c>
      <c r="G159" t="str">
        <f>VLOOKUP(Table4[[#This Row],[Employee ID]],Tbl_Emp_Onboarding[],8,FALSE)</f>
        <v>NA</v>
      </c>
    </row>
    <row r="160" spans="1:7" x14ac:dyDescent="0.3">
      <c r="A160" s="17">
        <v>105861</v>
      </c>
      <c r="B160" t="str">
        <f>VLOOKUP(Table4[[#This Row],[Employee ID]],Tbl_Employee_Details[],4,0)</f>
        <v>Female</v>
      </c>
      <c r="C160" t="str">
        <f>VLOOKUP(Table4[[#This Row],[Employee ID]],Tbl_Employee_Details[],7,)</f>
        <v>China</v>
      </c>
      <c r="D160" t="str">
        <f>VLOOKUP(Table4[[#This Row],[Employee ID]],Tbl_Employee_Details[],17,FALSE)</f>
        <v>Operational</v>
      </c>
      <c r="E160" s="6">
        <f ca="1">VLOOKUP(Table4[[#This Row],[Employee ID]],Tbl_Employee_Details[],16,FALSE)</f>
        <v>44.897222222222226</v>
      </c>
      <c r="F160" t="str">
        <f>VLOOKUP(Table4[[#This Row],[Employee ID]],Tbl_Employee_Details[],18,FALSE)</f>
        <v>Toulouse</v>
      </c>
      <c r="G160" t="str">
        <f>VLOOKUP(Table4[[#This Row],[Employee ID]],Tbl_Emp_Onboarding[],8,FALSE)</f>
        <v>Graduation/Bachelors</v>
      </c>
    </row>
    <row r="161" spans="1:7" x14ac:dyDescent="0.3">
      <c r="A161" s="17">
        <v>102351</v>
      </c>
      <c r="B161" t="str">
        <f>VLOOKUP(Table4[[#This Row],[Employee ID]],Tbl_Employee_Details[],4,0)</f>
        <v>Male</v>
      </c>
      <c r="C161" t="str">
        <f>VLOOKUP(Table4[[#This Row],[Employee ID]],Tbl_Employee_Details[],7,)</f>
        <v>Indonesia</v>
      </c>
      <c r="D161" t="str">
        <f>VLOOKUP(Table4[[#This Row],[Employee ID]],Tbl_Employee_Details[],17,FALSE)</f>
        <v>Sales</v>
      </c>
      <c r="E161" s="6">
        <f ca="1">VLOOKUP(Table4[[#This Row],[Employee ID]],Tbl_Employee_Details[],16,FALSE)</f>
        <v>24.458333333333332</v>
      </c>
      <c r="F161" t="str">
        <f>VLOOKUP(Table4[[#This Row],[Employee ID]],Tbl_Employee_Details[],18,FALSE)</f>
        <v>London</v>
      </c>
      <c r="G161" t="str">
        <f>VLOOKUP(Table4[[#This Row],[Employee ID]],Tbl_Emp_Onboarding[],8,FALSE)</f>
        <v>PHD</v>
      </c>
    </row>
    <row r="162" spans="1:7" x14ac:dyDescent="0.3">
      <c r="A162" s="17">
        <v>107697</v>
      </c>
      <c r="B162" t="str">
        <f>VLOOKUP(Table4[[#This Row],[Employee ID]],Tbl_Employee_Details[],4,0)</f>
        <v>Male</v>
      </c>
      <c r="C162" t="str">
        <f>VLOOKUP(Table4[[#This Row],[Employee ID]],Tbl_Employee_Details[],7,)</f>
        <v>Indonesia</v>
      </c>
      <c r="D162" t="str">
        <f>VLOOKUP(Table4[[#This Row],[Employee ID]],Tbl_Employee_Details[],17,FALSE)</f>
        <v>Operational</v>
      </c>
      <c r="E162" s="6">
        <f ca="1">VLOOKUP(Table4[[#This Row],[Employee ID]],Tbl_Employee_Details[],16,FALSE)</f>
        <v>33.677777777777777</v>
      </c>
      <c r="F162" t="str">
        <f>VLOOKUP(Table4[[#This Row],[Employee ID]],Tbl_Employee_Details[],18,FALSE)</f>
        <v>Toulouse</v>
      </c>
      <c r="G162" t="str">
        <f>VLOOKUP(Table4[[#This Row],[Employee ID]],Tbl_Emp_Onboarding[],8,FALSE)</f>
        <v>Student</v>
      </c>
    </row>
    <row r="163" spans="1:7" x14ac:dyDescent="0.3">
      <c r="A163" s="17">
        <v>107658</v>
      </c>
      <c r="B163" t="str">
        <f>VLOOKUP(Table4[[#This Row],[Employee ID]],Tbl_Employee_Details[],4,0)</f>
        <v>Female</v>
      </c>
      <c r="C163" t="str">
        <f>VLOOKUP(Table4[[#This Row],[Employee ID]],Tbl_Employee_Details[],7,)</f>
        <v>Czech Republic</v>
      </c>
      <c r="D163" t="str">
        <f>VLOOKUP(Table4[[#This Row],[Employee ID]],Tbl_Employee_Details[],17,FALSE)</f>
        <v>Marketing</v>
      </c>
      <c r="E163" s="6">
        <f ca="1">VLOOKUP(Table4[[#This Row],[Employee ID]],Tbl_Employee_Details[],16,FALSE)</f>
        <v>19.041666666666668</v>
      </c>
      <c r="F163" t="str">
        <f>VLOOKUP(Table4[[#This Row],[Employee ID]],Tbl_Employee_Details[],18,FALSE)</f>
        <v>Dubai</v>
      </c>
      <c r="G163" t="str">
        <f>VLOOKUP(Table4[[#This Row],[Employee ID]],Tbl_Emp_Onboarding[],8,FALSE)</f>
        <v>Post Graduation/Masters</v>
      </c>
    </row>
    <row r="164" spans="1:7" x14ac:dyDescent="0.3">
      <c r="A164" s="17">
        <v>105503</v>
      </c>
      <c r="B164" t="str">
        <f>VLOOKUP(Table4[[#This Row],[Employee ID]],Tbl_Employee_Details[],4,0)</f>
        <v>Female</v>
      </c>
      <c r="C164" t="str">
        <f>VLOOKUP(Table4[[#This Row],[Employee ID]],Tbl_Employee_Details[],7,)</f>
        <v>Mexico</v>
      </c>
      <c r="D164" t="str">
        <f>VLOOKUP(Table4[[#This Row],[Employee ID]],Tbl_Employee_Details[],17,FALSE)</f>
        <v>Purchasing</v>
      </c>
      <c r="E164" s="6">
        <f ca="1">VLOOKUP(Table4[[#This Row],[Employee ID]],Tbl_Employee_Details[],16,FALSE)</f>
        <v>41.597222222222221</v>
      </c>
      <c r="F164" t="str">
        <f>VLOOKUP(Table4[[#This Row],[Employee ID]],Tbl_Employee_Details[],18,FALSE)</f>
        <v>Toulouse</v>
      </c>
      <c r="G164" t="str">
        <f>VLOOKUP(Table4[[#This Row],[Employee ID]],Tbl_Emp_Onboarding[],8,FALSE)</f>
        <v>PHD</v>
      </c>
    </row>
    <row r="165" spans="1:7" x14ac:dyDescent="0.3">
      <c r="A165" s="17">
        <v>107728</v>
      </c>
      <c r="B165" t="str">
        <f>VLOOKUP(Table4[[#This Row],[Employee ID]],Tbl_Employee_Details[],4,0)</f>
        <v>Male</v>
      </c>
      <c r="C165" t="str">
        <f>VLOOKUP(Table4[[#This Row],[Employee ID]],Tbl_Employee_Details[],7,)</f>
        <v>Thailand</v>
      </c>
      <c r="D165" t="str">
        <f>VLOOKUP(Table4[[#This Row],[Employee ID]],Tbl_Employee_Details[],17,FALSE)</f>
        <v>HR</v>
      </c>
      <c r="E165" s="6">
        <f ca="1">VLOOKUP(Table4[[#This Row],[Employee ID]],Tbl_Employee_Details[],16,FALSE)</f>
        <v>30.769444444444446</v>
      </c>
      <c r="F165" t="str">
        <f>VLOOKUP(Table4[[#This Row],[Employee ID]],Tbl_Employee_Details[],18,FALSE)</f>
        <v>New York</v>
      </c>
      <c r="G165" t="str">
        <f>VLOOKUP(Table4[[#This Row],[Employee ID]],Tbl_Emp_Onboarding[],8,FALSE)</f>
        <v>PHD</v>
      </c>
    </row>
    <row r="166" spans="1:7" x14ac:dyDescent="0.3">
      <c r="A166" s="17">
        <v>104974</v>
      </c>
      <c r="B166" t="str">
        <f>VLOOKUP(Table4[[#This Row],[Employee ID]],Tbl_Employee_Details[],4,0)</f>
        <v>Female</v>
      </c>
      <c r="C166" t="str">
        <f>VLOOKUP(Table4[[#This Row],[Employee ID]],Tbl_Employee_Details[],7,)</f>
        <v>Greece</v>
      </c>
      <c r="D166" t="str">
        <f>VLOOKUP(Table4[[#This Row],[Employee ID]],Tbl_Employee_Details[],17,FALSE)</f>
        <v>Quality Assurance</v>
      </c>
      <c r="E166" s="6">
        <f ca="1">VLOOKUP(Table4[[#This Row],[Employee ID]],Tbl_Employee_Details[],16,FALSE)</f>
        <v>33.427777777777777</v>
      </c>
      <c r="F166" t="str">
        <f>VLOOKUP(Table4[[#This Row],[Employee ID]],Tbl_Employee_Details[],18,FALSE)</f>
        <v>Bangalore</v>
      </c>
      <c r="G166" t="str">
        <f>VLOOKUP(Table4[[#This Row],[Employee ID]],Tbl_Emp_Onboarding[],8,FALSE)</f>
        <v>PHD</v>
      </c>
    </row>
    <row r="167" spans="1:7" x14ac:dyDescent="0.3">
      <c r="A167" s="17">
        <v>103736</v>
      </c>
      <c r="B167" t="str">
        <f>VLOOKUP(Table4[[#This Row],[Employee ID]],Tbl_Employee_Details[],4,0)</f>
        <v>Male</v>
      </c>
      <c r="C167" t="str">
        <f>VLOOKUP(Table4[[#This Row],[Employee ID]],Tbl_Employee_Details[],7,)</f>
        <v>Libya</v>
      </c>
      <c r="D167" t="str">
        <f>VLOOKUP(Table4[[#This Row],[Employee ID]],Tbl_Employee_Details[],17,FALSE)</f>
        <v>Operational</v>
      </c>
      <c r="E167" s="6">
        <f ca="1">VLOOKUP(Table4[[#This Row],[Employee ID]],Tbl_Employee_Details[],16,FALSE)</f>
        <v>37.830555555555556</v>
      </c>
      <c r="F167" t="str">
        <f>VLOOKUP(Table4[[#This Row],[Employee ID]],Tbl_Employee_Details[],18,FALSE)</f>
        <v>London</v>
      </c>
      <c r="G167" t="str">
        <f>VLOOKUP(Table4[[#This Row],[Employee ID]],Tbl_Emp_Onboarding[],8,FALSE)</f>
        <v>Undergrad</v>
      </c>
    </row>
    <row r="168" spans="1:7" x14ac:dyDescent="0.3">
      <c r="A168" s="17">
        <v>104098</v>
      </c>
      <c r="B168" t="str">
        <f>VLOOKUP(Table4[[#This Row],[Employee ID]],Tbl_Employee_Details[],4,0)</f>
        <v>Female</v>
      </c>
      <c r="C168" t="str">
        <f>VLOOKUP(Table4[[#This Row],[Employee ID]],Tbl_Employee_Details[],7,)</f>
        <v>United States</v>
      </c>
      <c r="D168" t="str">
        <f>VLOOKUP(Table4[[#This Row],[Employee ID]],Tbl_Employee_Details[],17,FALSE)</f>
        <v>Purchasing</v>
      </c>
      <c r="E168" s="6">
        <f ca="1">VLOOKUP(Table4[[#This Row],[Employee ID]],Tbl_Employee_Details[],16,FALSE)</f>
        <v>32.62222222222222</v>
      </c>
      <c r="F168" t="str">
        <f>VLOOKUP(Table4[[#This Row],[Employee ID]],Tbl_Employee_Details[],18,FALSE)</f>
        <v>Mumbai</v>
      </c>
      <c r="G168" t="str">
        <f>VLOOKUP(Table4[[#This Row],[Employee ID]],Tbl_Emp_Onboarding[],8,FALSE)</f>
        <v>PHD</v>
      </c>
    </row>
    <row r="169" spans="1:7" x14ac:dyDescent="0.3">
      <c r="A169" s="17">
        <v>107343</v>
      </c>
      <c r="B169" t="str">
        <f>VLOOKUP(Table4[[#This Row],[Employee ID]],Tbl_Employee_Details[],4,0)</f>
        <v>Male</v>
      </c>
      <c r="C169" t="str">
        <f>VLOOKUP(Table4[[#This Row],[Employee ID]],Tbl_Employee_Details[],7,)</f>
        <v>Japan</v>
      </c>
      <c r="D169" t="str">
        <f>VLOOKUP(Table4[[#This Row],[Employee ID]],Tbl_Employee_Details[],17,FALSE)</f>
        <v>Operational</v>
      </c>
      <c r="E169" s="6">
        <f ca="1">VLOOKUP(Table4[[#This Row],[Employee ID]],Tbl_Employee_Details[],16,FALSE)</f>
        <v>25.425000000000001</v>
      </c>
      <c r="F169" t="str">
        <f>VLOOKUP(Table4[[#This Row],[Employee ID]],Tbl_Employee_Details[],18,FALSE)</f>
        <v>London</v>
      </c>
      <c r="G169" t="str">
        <f>VLOOKUP(Table4[[#This Row],[Employee ID]],Tbl_Emp_Onboarding[],8,FALSE)</f>
        <v>NA</v>
      </c>
    </row>
    <row r="170" spans="1:7" x14ac:dyDescent="0.3">
      <c r="A170" s="17">
        <v>105647</v>
      </c>
      <c r="B170" t="str">
        <f>VLOOKUP(Table4[[#This Row],[Employee ID]],Tbl_Employee_Details[],4,0)</f>
        <v>Female</v>
      </c>
      <c r="C170" t="str">
        <f>VLOOKUP(Table4[[#This Row],[Employee ID]],Tbl_Employee_Details[],7,)</f>
        <v>Slovenia</v>
      </c>
      <c r="D170" t="str">
        <f>VLOOKUP(Table4[[#This Row],[Employee ID]],Tbl_Employee_Details[],17,FALSE)</f>
        <v>Purchasing</v>
      </c>
      <c r="E170" s="6">
        <f ca="1">VLOOKUP(Table4[[#This Row],[Employee ID]],Tbl_Employee_Details[],16,FALSE)</f>
        <v>32.136111111111113</v>
      </c>
      <c r="F170" t="str">
        <f>VLOOKUP(Table4[[#This Row],[Employee ID]],Tbl_Employee_Details[],18,FALSE)</f>
        <v>Toulouse</v>
      </c>
      <c r="G170" t="str">
        <f>VLOOKUP(Table4[[#This Row],[Employee ID]],Tbl_Emp_Onboarding[],8,FALSE)</f>
        <v>PHD</v>
      </c>
    </row>
    <row r="171" spans="1:7" x14ac:dyDescent="0.3">
      <c r="A171" s="17">
        <v>103216</v>
      </c>
      <c r="B171" t="str">
        <f>VLOOKUP(Table4[[#This Row],[Employee ID]],Tbl_Employee_Details[],4,0)</f>
        <v>Female</v>
      </c>
      <c r="C171" t="str">
        <f>VLOOKUP(Table4[[#This Row],[Employee ID]],Tbl_Employee_Details[],7,)</f>
        <v>Indonesia</v>
      </c>
      <c r="D171" t="str">
        <f>VLOOKUP(Table4[[#This Row],[Employee ID]],Tbl_Employee_Details[],17,FALSE)</f>
        <v>Operational</v>
      </c>
      <c r="E171" s="6">
        <f ca="1">VLOOKUP(Table4[[#This Row],[Employee ID]],Tbl_Employee_Details[],16,FALSE)</f>
        <v>39.638888888888886</v>
      </c>
      <c r="F171" t="str">
        <f>VLOOKUP(Table4[[#This Row],[Employee ID]],Tbl_Employee_Details[],18,FALSE)</f>
        <v>New York</v>
      </c>
      <c r="G171" t="str">
        <f>VLOOKUP(Table4[[#This Row],[Employee ID]],Tbl_Emp_Onboarding[],8,FALSE)</f>
        <v>Undergrad</v>
      </c>
    </row>
    <row r="172" spans="1:7" x14ac:dyDescent="0.3">
      <c r="A172" s="17">
        <v>104836</v>
      </c>
      <c r="B172" t="str">
        <f>VLOOKUP(Table4[[#This Row],[Employee ID]],Tbl_Employee_Details[],4,0)</f>
        <v>Female</v>
      </c>
      <c r="C172" t="str">
        <f>VLOOKUP(Table4[[#This Row],[Employee ID]],Tbl_Employee_Details[],7,)</f>
        <v>China</v>
      </c>
      <c r="D172" t="str">
        <f>VLOOKUP(Table4[[#This Row],[Employee ID]],Tbl_Employee_Details[],17,FALSE)</f>
        <v>Inventory</v>
      </c>
      <c r="E172" s="6">
        <f ca="1">VLOOKUP(Table4[[#This Row],[Employee ID]],Tbl_Employee_Details[],16,FALSE)</f>
        <v>27.663888888888888</v>
      </c>
      <c r="F172" t="str">
        <f>VLOOKUP(Table4[[#This Row],[Employee ID]],Tbl_Employee_Details[],18,FALSE)</f>
        <v>Toulouse</v>
      </c>
      <c r="G172" t="str">
        <f>VLOOKUP(Table4[[#This Row],[Employee ID]],Tbl_Emp_Onboarding[],8,FALSE)</f>
        <v>PHD</v>
      </c>
    </row>
    <row r="173" spans="1:7" x14ac:dyDescent="0.3">
      <c r="A173" s="17">
        <v>106398</v>
      </c>
      <c r="B173" t="str">
        <f>VLOOKUP(Table4[[#This Row],[Employee ID]],Tbl_Employee_Details[],4,0)</f>
        <v>Male</v>
      </c>
      <c r="C173" t="str">
        <f>VLOOKUP(Table4[[#This Row],[Employee ID]],Tbl_Employee_Details[],7,)</f>
        <v>Iran</v>
      </c>
      <c r="D173" t="str">
        <f>VLOOKUP(Table4[[#This Row],[Employee ID]],Tbl_Employee_Details[],17,FALSE)</f>
        <v>Sales</v>
      </c>
      <c r="E173" s="6">
        <f ca="1">VLOOKUP(Table4[[#This Row],[Employee ID]],Tbl_Employee_Details[],16,FALSE)</f>
        <v>26.105555555555554</v>
      </c>
      <c r="F173" t="str">
        <f>VLOOKUP(Table4[[#This Row],[Employee ID]],Tbl_Employee_Details[],18,FALSE)</f>
        <v>Mumbai</v>
      </c>
      <c r="G173" t="str">
        <f>VLOOKUP(Table4[[#This Row],[Employee ID]],Tbl_Emp_Onboarding[],8,FALSE)</f>
        <v>Post Graduation/Masters</v>
      </c>
    </row>
    <row r="174" spans="1:7" x14ac:dyDescent="0.3">
      <c r="A174" s="17">
        <v>102467</v>
      </c>
      <c r="B174" t="str">
        <f>VLOOKUP(Table4[[#This Row],[Employee ID]],Tbl_Employee_Details[],4,0)</f>
        <v>Female</v>
      </c>
      <c r="C174" t="str">
        <f>VLOOKUP(Table4[[#This Row],[Employee ID]],Tbl_Employee_Details[],7,)</f>
        <v>Spain</v>
      </c>
      <c r="D174" t="str">
        <f>VLOOKUP(Table4[[#This Row],[Employee ID]],Tbl_Employee_Details[],17,FALSE)</f>
        <v>Operational</v>
      </c>
      <c r="E174" s="6">
        <f ca="1">VLOOKUP(Table4[[#This Row],[Employee ID]],Tbl_Employee_Details[],16,FALSE)</f>
        <v>23.277777777777779</v>
      </c>
      <c r="F174" t="str">
        <f>VLOOKUP(Table4[[#This Row],[Employee ID]],Tbl_Employee_Details[],18,FALSE)</f>
        <v>New York</v>
      </c>
      <c r="G174" t="str">
        <f>VLOOKUP(Table4[[#This Row],[Employee ID]],Tbl_Emp_Onboarding[],8,FALSE)</f>
        <v>Student</v>
      </c>
    </row>
    <row r="175" spans="1:7" x14ac:dyDescent="0.3">
      <c r="A175" s="17">
        <v>104411</v>
      </c>
      <c r="B175" t="str">
        <f>VLOOKUP(Table4[[#This Row],[Employee ID]],Tbl_Employee_Details[],4,0)</f>
        <v>Male</v>
      </c>
      <c r="C175" t="str">
        <f>VLOOKUP(Table4[[#This Row],[Employee ID]],Tbl_Employee_Details[],7,)</f>
        <v>China</v>
      </c>
      <c r="D175" t="str">
        <f>VLOOKUP(Table4[[#This Row],[Employee ID]],Tbl_Employee_Details[],17,FALSE)</f>
        <v>Operational</v>
      </c>
      <c r="E175" s="6">
        <f ca="1">VLOOKUP(Table4[[#This Row],[Employee ID]],Tbl_Employee_Details[],16,FALSE)</f>
        <v>22.044444444444444</v>
      </c>
      <c r="F175" t="str">
        <f>VLOOKUP(Table4[[#This Row],[Employee ID]],Tbl_Employee_Details[],18,FALSE)</f>
        <v>Toulouse</v>
      </c>
      <c r="G175" t="str">
        <f>VLOOKUP(Table4[[#This Row],[Employee ID]],Tbl_Emp_Onboarding[],8,FALSE)</f>
        <v>Student</v>
      </c>
    </row>
    <row r="176" spans="1:7" x14ac:dyDescent="0.3">
      <c r="A176" s="17">
        <v>107191</v>
      </c>
      <c r="B176" t="str">
        <f>VLOOKUP(Table4[[#This Row],[Employee ID]],Tbl_Employee_Details[],4,0)</f>
        <v>Female</v>
      </c>
      <c r="C176" t="str">
        <f>VLOOKUP(Table4[[#This Row],[Employee ID]],Tbl_Employee_Details[],7,)</f>
        <v>India</v>
      </c>
      <c r="D176" t="str">
        <f>VLOOKUP(Table4[[#This Row],[Employee ID]],Tbl_Employee_Details[],17,FALSE)</f>
        <v xml:space="preserve">Marketing </v>
      </c>
      <c r="E176" s="6">
        <f ca="1">VLOOKUP(Table4[[#This Row],[Employee ID]],Tbl_Employee_Details[],16,FALSE)</f>
        <v>22.972222222222221</v>
      </c>
      <c r="F176" t="str">
        <f>VLOOKUP(Table4[[#This Row],[Employee ID]],Tbl_Employee_Details[],18,FALSE)</f>
        <v>Paris</v>
      </c>
      <c r="G176" t="str">
        <f>VLOOKUP(Table4[[#This Row],[Employee ID]],Tbl_Emp_Onboarding[],8,FALSE)</f>
        <v>PHD</v>
      </c>
    </row>
    <row r="177" spans="1:7" x14ac:dyDescent="0.3">
      <c r="A177" s="17">
        <v>105655</v>
      </c>
      <c r="B177" t="str">
        <f>VLOOKUP(Table4[[#This Row],[Employee ID]],Tbl_Employee_Details[],4,0)</f>
        <v>Female</v>
      </c>
      <c r="C177" t="str">
        <f>VLOOKUP(Table4[[#This Row],[Employee ID]],Tbl_Employee_Details[],7,)</f>
        <v>Vietnam</v>
      </c>
      <c r="D177" t="str">
        <f>VLOOKUP(Table4[[#This Row],[Employee ID]],Tbl_Employee_Details[],17,FALSE)</f>
        <v>Purchasing</v>
      </c>
      <c r="E177" s="6">
        <f ca="1">VLOOKUP(Table4[[#This Row],[Employee ID]],Tbl_Employee_Details[],16,FALSE)</f>
        <v>32.494444444444447</v>
      </c>
      <c r="F177" t="str">
        <f>VLOOKUP(Table4[[#This Row],[Employee ID]],Tbl_Employee_Details[],18,FALSE)</f>
        <v>Toulouse</v>
      </c>
      <c r="G177" t="str">
        <f>VLOOKUP(Table4[[#This Row],[Employee ID]],Tbl_Emp_Onboarding[],8,FALSE)</f>
        <v>Post Graduation/Masters</v>
      </c>
    </row>
    <row r="178" spans="1:7" x14ac:dyDescent="0.3">
      <c r="A178" s="17">
        <v>106256</v>
      </c>
      <c r="B178" t="str">
        <f>VLOOKUP(Table4[[#This Row],[Employee ID]],Tbl_Employee_Details[],4,0)</f>
        <v>Female</v>
      </c>
      <c r="C178" t="str">
        <f>VLOOKUP(Table4[[#This Row],[Employee ID]],Tbl_Employee_Details[],7,)</f>
        <v>Malaysia</v>
      </c>
      <c r="D178" t="str">
        <f>VLOOKUP(Table4[[#This Row],[Employee ID]],Tbl_Employee_Details[],17,FALSE)</f>
        <v>Operational</v>
      </c>
      <c r="E178" s="6">
        <f ca="1">VLOOKUP(Table4[[#This Row],[Employee ID]],Tbl_Employee_Details[],16,FALSE)</f>
        <v>27.036111111111111</v>
      </c>
      <c r="F178" t="str">
        <f>VLOOKUP(Table4[[#This Row],[Employee ID]],Tbl_Employee_Details[],18,FALSE)</f>
        <v>California</v>
      </c>
      <c r="G178" t="str">
        <f>VLOOKUP(Table4[[#This Row],[Employee ID]],Tbl_Emp_Onboarding[],8,FALSE)</f>
        <v>Graduation/Bachelors</v>
      </c>
    </row>
    <row r="179" spans="1:7" x14ac:dyDescent="0.3">
      <c r="A179" s="17">
        <v>104090</v>
      </c>
      <c r="B179" t="str">
        <f>VLOOKUP(Table4[[#This Row],[Employee ID]],Tbl_Employee_Details[],4,0)</f>
        <v>Female</v>
      </c>
      <c r="C179" t="str">
        <f>VLOOKUP(Table4[[#This Row],[Employee ID]],Tbl_Employee_Details[],7,)</f>
        <v>Serbia</v>
      </c>
      <c r="D179" t="str">
        <f>VLOOKUP(Table4[[#This Row],[Employee ID]],Tbl_Employee_Details[],17,FALSE)</f>
        <v>Operational</v>
      </c>
      <c r="E179" s="6">
        <f ca="1">VLOOKUP(Table4[[#This Row],[Employee ID]],Tbl_Employee_Details[],16,FALSE)</f>
        <v>42.586111111111109</v>
      </c>
      <c r="F179" t="str">
        <f>VLOOKUP(Table4[[#This Row],[Employee ID]],Tbl_Employee_Details[],18,FALSE)</f>
        <v>California</v>
      </c>
      <c r="G179" t="str">
        <f>VLOOKUP(Table4[[#This Row],[Employee ID]],Tbl_Emp_Onboarding[],8,FALSE)</f>
        <v>NA</v>
      </c>
    </row>
    <row r="180" spans="1:7" x14ac:dyDescent="0.3">
      <c r="A180" s="17">
        <v>103177</v>
      </c>
      <c r="B180" t="str">
        <f>VLOOKUP(Table4[[#This Row],[Employee ID]],Tbl_Employee_Details[],4,0)</f>
        <v>Female</v>
      </c>
      <c r="C180" t="str">
        <f>VLOOKUP(Table4[[#This Row],[Employee ID]],Tbl_Employee_Details[],7,)</f>
        <v>Philippines</v>
      </c>
      <c r="D180" t="str">
        <f>VLOOKUP(Table4[[#This Row],[Employee ID]],Tbl_Employee_Details[],17,FALSE)</f>
        <v>Customer Service</v>
      </c>
      <c r="E180" s="6">
        <f ca="1">VLOOKUP(Table4[[#This Row],[Employee ID]],Tbl_Employee_Details[],16,FALSE)</f>
        <v>43.272222222222226</v>
      </c>
      <c r="F180" t="str">
        <f>VLOOKUP(Table4[[#This Row],[Employee ID]],Tbl_Employee_Details[],18,FALSE)</f>
        <v>Bangalore</v>
      </c>
      <c r="G180" t="str">
        <f>VLOOKUP(Table4[[#This Row],[Employee ID]],Tbl_Emp_Onboarding[],8,FALSE)</f>
        <v>Post Graduation/Masters</v>
      </c>
    </row>
    <row r="181" spans="1:7" x14ac:dyDescent="0.3">
      <c r="A181" s="17">
        <v>104401</v>
      </c>
      <c r="B181" t="str">
        <f>VLOOKUP(Table4[[#This Row],[Employee ID]],Tbl_Employee_Details[],4,0)</f>
        <v>Male</v>
      </c>
      <c r="C181" t="str">
        <f>VLOOKUP(Table4[[#This Row],[Employee ID]],Tbl_Employee_Details[],7,)</f>
        <v>Kyrgyzstan</v>
      </c>
      <c r="D181" t="str">
        <f>VLOOKUP(Table4[[#This Row],[Employee ID]],Tbl_Employee_Details[],17,FALSE)</f>
        <v>Operational</v>
      </c>
      <c r="E181" s="6">
        <f ca="1">VLOOKUP(Table4[[#This Row],[Employee ID]],Tbl_Employee_Details[],16,FALSE)</f>
        <v>19.375</v>
      </c>
      <c r="F181" t="str">
        <f>VLOOKUP(Table4[[#This Row],[Employee ID]],Tbl_Employee_Details[],18,FALSE)</f>
        <v>New York</v>
      </c>
      <c r="G181" t="str">
        <f>VLOOKUP(Table4[[#This Row],[Employee ID]],Tbl_Emp_Onboarding[],8,FALSE)</f>
        <v>Student</v>
      </c>
    </row>
    <row r="182" spans="1:7" x14ac:dyDescent="0.3">
      <c r="A182" s="17">
        <v>102261</v>
      </c>
      <c r="B182" t="str">
        <f>VLOOKUP(Table4[[#This Row],[Employee ID]],Tbl_Employee_Details[],4,0)</f>
        <v>Female</v>
      </c>
      <c r="C182" t="str">
        <f>VLOOKUP(Table4[[#This Row],[Employee ID]],Tbl_Employee_Details[],7,)</f>
        <v>Yemen</v>
      </c>
      <c r="D182" t="str">
        <f>VLOOKUP(Table4[[#This Row],[Employee ID]],Tbl_Employee_Details[],17,FALSE)</f>
        <v>Operational</v>
      </c>
      <c r="E182" s="6">
        <f ca="1">VLOOKUP(Table4[[#This Row],[Employee ID]],Tbl_Employee_Details[],16,FALSE)</f>
        <v>38.475000000000001</v>
      </c>
      <c r="F182" t="str">
        <f>VLOOKUP(Table4[[#This Row],[Employee ID]],Tbl_Employee_Details[],18,FALSE)</f>
        <v>London</v>
      </c>
      <c r="G182" t="str">
        <f>VLOOKUP(Table4[[#This Row],[Employee ID]],Tbl_Emp_Onboarding[],8,FALSE)</f>
        <v>NA</v>
      </c>
    </row>
    <row r="183" spans="1:7" x14ac:dyDescent="0.3">
      <c r="A183" s="17">
        <v>102979</v>
      </c>
      <c r="B183" t="str">
        <f>VLOOKUP(Table4[[#This Row],[Employee ID]],Tbl_Employee_Details[],4,0)</f>
        <v>Male</v>
      </c>
      <c r="C183" t="str">
        <f>VLOOKUP(Table4[[#This Row],[Employee ID]],Tbl_Employee_Details[],7,)</f>
        <v>Canada</v>
      </c>
      <c r="D183" t="str">
        <f>VLOOKUP(Table4[[#This Row],[Employee ID]],Tbl_Employee_Details[],17,FALSE)</f>
        <v>Organizational</v>
      </c>
      <c r="E183" s="6">
        <f ca="1">VLOOKUP(Table4[[#This Row],[Employee ID]],Tbl_Employee_Details[],16,FALSE)</f>
        <v>44.822222222222223</v>
      </c>
      <c r="F183" t="str">
        <f>VLOOKUP(Table4[[#This Row],[Employee ID]],Tbl_Employee_Details[],18,FALSE)</f>
        <v>London</v>
      </c>
      <c r="G183" t="str">
        <f>VLOOKUP(Table4[[#This Row],[Employee ID]],Tbl_Emp_Onboarding[],8,FALSE)</f>
        <v>PHD</v>
      </c>
    </row>
    <row r="184" spans="1:7" x14ac:dyDescent="0.3">
      <c r="A184" s="17">
        <v>107385</v>
      </c>
      <c r="B184" t="str">
        <f>VLOOKUP(Table4[[#This Row],[Employee ID]],Tbl_Employee_Details[],4,0)</f>
        <v>Female</v>
      </c>
      <c r="C184" t="str">
        <f>VLOOKUP(Table4[[#This Row],[Employee ID]],Tbl_Employee_Details[],7,)</f>
        <v>China</v>
      </c>
      <c r="D184" t="str">
        <f>VLOOKUP(Table4[[#This Row],[Employee ID]],Tbl_Employee_Details[],17,FALSE)</f>
        <v>Operational</v>
      </c>
      <c r="E184" s="6">
        <f ca="1">VLOOKUP(Table4[[#This Row],[Employee ID]],Tbl_Employee_Details[],16,FALSE)</f>
        <v>19.902777777777779</v>
      </c>
      <c r="F184" t="str">
        <f>VLOOKUP(Table4[[#This Row],[Employee ID]],Tbl_Employee_Details[],18,FALSE)</f>
        <v>London</v>
      </c>
      <c r="G184" t="str">
        <f>VLOOKUP(Table4[[#This Row],[Employee ID]],Tbl_Emp_Onboarding[],8,FALSE)</f>
        <v>Post Graduation/Masters</v>
      </c>
    </row>
    <row r="185" spans="1:7" x14ac:dyDescent="0.3">
      <c r="A185" s="17">
        <v>107852</v>
      </c>
      <c r="B185" t="str">
        <f>VLOOKUP(Table4[[#This Row],[Employee ID]],Tbl_Employee_Details[],4,0)</f>
        <v>Female</v>
      </c>
      <c r="C185" t="str">
        <f>VLOOKUP(Table4[[#This Row],[Employee ID]],Tbl_Employee_Details[],7,)</f>
        <v>China</v>
      </c>
      <c r="D185" t="str">
        <f>VLOOKUP(Table4[[#This Row],[Employee ID]],Tbl_Employee_Details[],17,FALSE)</f>
        <v>Operational</v>
      </c>
      <c r="E185" s="6">
        <f ca="1">VLOOKUP(Table4[[#This Row],[Employee ID]],Tbl_Employee_Details[],16,FALSE)</f>
        <v>20.544444444444444</v>
      </c>
      <c r="F185" t="str">
        <f>VLOOKUP(Table4[[#This Row],[Employee ID]],Tbl_Employee_Details[],18,FALSE)</f>
        <v>London</v>
      </c>
      <c r="G185" t="str">
        <f>VLOOKUP(Table4[[#This Row],[Employee ID]],Tbl_Emp_Onboarding[],8,FALSE)</f>
        <v>NA</v>
      </c>
    </row>
    <row r="186" spans="1:7" x14ac:dyDescent="0.3">
      <c r="A186" s="17">
        <v>103059</v>
      </c>
      <c r="B186" t="str">
        <f>VLOOKUP(Table4[[#This Row],[Employee ID]],Tbl_Employee_Details[],4,0)</f>
        <v>Female</v>
      </c>
      <c r="C186" t="str">
        <f>VLOOKUP(Table4[[#This Row],[Employee ID]],Tbl_Employee_Details[],7,)</f>
        <v>Egypt</v>
      </c>
      <c r="D186" t="str">
        <f>VLOOKUP(Table4[[#This Row],[Employee ID]],Tbl_Employee_Details[],17,FALSE)</f>
        <v>Sales</v>
      </c>
      <c r="E186" s="6">
        <f ca="1">VLOOKUP(Table4[[#This Row],[Employee ID]],Tbl_Employee_Details[],16,FALSE)</f>
        <v>44.677777777777777</v>
      </c>
      <c r="F186" t="str">
        <f>VLOOKUP(Table4[[#This Row],[Employee ID]],Tbl_Employee_Details[],18,FALSE)</f>
        <v>New York</v>
      </c>
      <c r="G186" t="str">
        <f>VLOOKUP(Table4[[#This Row],[Employee ID]],Tbl_Emp_Onboarding[],8,FALSE)</f>
        <v>PHD</v>
      </c>
    </row>
    <row r="187" spans="1:7" x14ac:dyDescent="0.3">
      <c r="A187" s="17">
        <v>105387</v>
      </c>
      <c r="B187" t="str">
        <f>VLOOKUP(Table4[[#This Row],[Employee ID]],Tbl_Employee_Details[],4,0)</f>
        <v>Female</v>
      </c>
      <c r="C187" t="str">
        <f>VLOOKUP(Table4[[#This Row],[Employee ID]],Tbl_Employee_Details[],7,)</f>
        <v>Portugal</v>
      </c>
      <c r="D187" t="str">
        <f>VLOOKUP(Table4[[#This Row],[Employee ID]],Tbl_Employee_Details[],17,FALSE)</f>
        <v>Operational</v>
      </c>
      <c r="E187" s="6">
        <f ca="1">VLOOKUP(Table4[[#This Row],[Employee ID]],Tbl_Employee_Details[],16,FALSE)</f>
        <v>43.052777777777777</v>
      </c>
      <c r="F187" t="str">
        <f>VLOOKUP(Table4[[#This Row],[Employee ID]],Tbl_Employee_Details[],18,FALSE)</f>
        <v>Toulouse</v>
      </c>
      <c r="G187" t="str">
        <f>VLOOKUP(Table4[[#This Row],[Employee ID]],Tbl_Emp_Onboarding[],8,FALSE)</f>
        <v>Student</v>
      </c>
    </row>
    <row r="188" spans="1:7" x14ac:dyDescent="0.3">
      <c r="A188" s="17">
        <v>105119</v>
      </c>
      <c r="B188" t="str">
        <f>VLOOKUP(Table4[[#This Row],[Employee ID]],Tbl_Employee_Details[],4,0)</f>
        <v>Female</v>
      </c>
      <c r="C188" t="str">
        <f>VLOOKUP(Table4[[#This Row],[Employee ID]],Tbl_Employee_Details[],7,)</f>
        <v>Brazil</v>
      </c>
      <c r="D188" t="str">
        <f>VLOOKUP(Table4[[#This Row],[Employee ID]],Tbl_Employee_Details[],17,FALSE)</f>
        <v>Operational</v>
      </c>
      <c r="E188" s="6">
        <f ca="1">VLOOKUP(Table4[[#This Row],[Employee ID]],Tbl_Employee_Details[],16,FALSE)</f>
        <v>42.772222222222226</v>
      </c>
      <c r="F188" t="str">
        <f>VLOOKUP(Table4[[#This Row],[Employee ID]],Tbl_Employee_Details[],18,FALSE)</f>
        <v>London</v>
      </c>
      <c r="G188" t="str">
        <f>VLOOKUP(Table4[[#This Row],[Employee ID]],Tbl_Emp_Onboarding[],8,FALSE)</f>
        <v>Student</v>
      </c>
    </row>
    <row r="189" spans="1:7" x14ac:dyDescent="0.3">
      <c r="A189" s="17">
        <v>102630</v>
      </c>
      <c r="B189" t="str">
        <f>VLOOKUP(Table4[[#This Row],[Employee ID]],Tbl_Employee_Details[],4,0)</f>
        <v>Female</v>
      </c>
      <c r="C189" t="str">
        <f>VLOOKUP(Table4[[#This Row],[Employee ID]],Tbl_Employee_Details[],7,)</f>
        <v>India</v>
      </c>
      <c r="D189" t="str">
        <f>VLOOKUP(Table4[[#This Row],[Employee ID]],Tbl_Employee_Details[],17,FALSE)</f>
        <v>Customer Service</v>
      </c>
      <c r="E189" s="6">
        <f ca="1">VLOOKUP(Table4[[#This Row],[Employee ID]],Tbl_Employee_Details[],16,FALSE)</f>
        <v>38.052777777777777</v>
      </c>
      <c r="F189" t="str">
        <f>VLOOKUP(Table4[[#This Row],[Employee ID]],Tbl_Employee_Details[],18,FALSE)</f>
        <v>New York</v>
      </c>
      <c r="G189" t="str">
        <f>VLOOKUP(Table4[[#This Row],[Employee ID]],Tbl_Emp_Onboarding[],8,FALSE)</f>
        <v>Post Graduation/Masters</v>
      </c>
    </row>
    <row r="190" spans="1:7" x14ac:dyDescent="0.3">
      <c r="A190" s="17">
        <v>103146</v>
      </c>
      <c r="B190" t="str">
        <f>VLOOKUP(Table4[[#This Row],[Employee ID]],Tbl_Employee_Details[],4,0)</f>
        <v>Female</v>
      </c>
      <c r="C190" t="str">
        <f>VLOOKUP(Table4[[#This Row],[Employee ID]],Tbl_Employee_Details[],7,)</f>
        <v>Poland</v>
      </c>
      <c r="D190" t="str">
        <f>VLOOKUP(Table4[[#This Row],[Employee ID]],Tbl_Employee_Details[],17,FALSE)</f>
        <v>Sales</v>
      </c>
      <c r="E190" s="6">
        <f ca="1">VLOOKUP(Table4[[#This Row],[Employee ID]],Tbl_Employee_Details[],16,FALSE)</f>
        <v>29.622222222222224</v>
      </c>
      <c r="F190" t="str">
        <f>VLOOKUP(Table4[[#This Row],[Employee ID]],Tbl_Employee_Details[],18,FALSE)</f>
        <v>Mumbai</v>
      </c>
      <c r="G190" t="str">
        <f>VLOOKUP(Table4[[#This Row],[Employee ID]],Tbl_Emp_Onboarding[],8,FALSE)</f>
        <v>Graduation/Bachelors</v>
      </c>
    </row>
    <row r="191" spans="1:7" x14ac:dyDescent="0.3">
      <c r="A191" s="17">
        <v>107783</v>
      </c>
      <c r="B191" t="str">
        <f>VLOOKUP(Table4[[#This Row],[Employee ID]],Tbl_Employee_Details[],4,0)</f>
        <v>Female</v>
      </c>
      <c r="C191" t="str">
        <f>VLOOKUP(Table4[[#This Row],[Employee ID]],Tbl_Employee_Details[],7,)</f>
        <v>Colombia</v>
      </c>
      <c r="D191" t="str">
        <f>VLOOKUP(Table4[[#This Row],[Employee ID]],Tbl_Employee_Details[],17,FALSE)</f>
        <v>Organizational</v>
      </c>
      <c r="E191" s="6">
        <f ca="1">VLOOKUP(Table4[[#This Row],[Employee ID]],Tbl_Employee_Details[],16,FALSE)</f>
        <v>37.219444444444441</v>
      </c>
      <c r="F191" t="str">
        <f>VLOOKUP(Table4[[#This Row],[Employee ID]],Tbl_Employee_Details[],18,FALSE)</f>
        <v>Paris</v>
      </c>
      <c r="G191" t="str">
        <f>VLOOKUP(Table4[[#This Row],[Employee ID]],Tbl_Emp_Onboarding[],8,FALSE)</f>
        <v>PHD</v>
      </c>
    </row>
    <row r="192" spans="1:7" x14ac:dyDescent="0.3">
      <c r="A192" s="17">
        <v>103497</v>
      </c>
      <c r="B192" t="str">
        <f>VLOOKUP(Table4[[#This Row],[Employee ID]],Tbl_Employee_Details[],4,0)</f>
        <v>Male</v>
      </c>
      <c r="C192" t="str">
        <f>VLOOKUP(Table4[[#This Row],[Employee ID]],Tbl_Employee_Details[],7,)</f>
        <v>Tanzania</v>
      </c>
      <c r="D192" t="str">
        <f>VLOOKUP(Table4[[#This Row],[Employee ID]],Tbl_Employee_Details[],17,FALSE)</f>
        <v>Sales</v>
      </c>
      <c r="E192" s="6">
        <f ca="1">VLOOKUP(Table4[[#This Row],[Employee ID]],Tbl_Employee_Details[],16,FALSE)</f>
        <v>34.163888888888891</v>
      </c>
      <c r="F192" t="str">
        <f>VLOOKUP(Table4[[#This Row],[Employee ID]],Tbl_Employee_Details[],18,FALSE)</f>
        <v>Dubai</v>
      </c>
      <c r="G192" t="str">
        <f>VLOOKUP(Table4[[#This Row],[Employee ID]],Tbl_Emp_Onboarding[],8,FALSE)</f>
        <v>Student</v>
      </c>
    </row>
    <row r="193" spans="1:7" x14ac:dyDescent="0.3">
      <c r="A193" s="17">
        <v>106071</v>
      </c>
      <c r="B193" t="str">
        <f>VLOOKUP(Table4[[#This Row],[Employee ID]],Tbl_Employee_Details[],4,0)</f>
        <v>Male</v>
      </c>
      <c r="C193" t="str">
        <f>VLOOKUP(Table4[[#This Row],[Employee ID]],Tbl_Employee_Details[],7,)</f>
        <v>Indonesia</v>
      </c>
      <c r="D193" t="str">
        <f>VLOOKUP(Table4[[#This Row],[Employee ID]],Tbl_Employee_Details[],17,FALSE)</f>
        <v>Organizational</v>
      </c>
      <c r="E193" s="6">
        <f ca="1">VLOOKUP(Table4[[#This Row],[Employee ID]],Tbl_Employee_Details[],16,FALSE)</f>
        <v>38.738888888888887</v>
      </c>
      <c r="F193" t="str">
        <f>VLOOKUP(Table4[[#This Row],[Employee ID]],Tbl_Employee_Details[],18,FALSE)</f>
        <v>Mumbai</v>
      </c>
      <c r="G193" t="str">
        <f>VLOOKUP(Table4[[#This Row],[Employee ID]],Tbl_Emp_Onboarding[],8,FALSE)</f>
        <v>PHD</v>
      </c>
    </row>
    <row r="194" spans="1:7" x14ac:dyDescent="0.3">
      <c r="A194" s="17">
        <v>105392</v>
      </c>
      <c r="B194" t="str">
        <f>VLOOKUP(Table4[[#This Row],[Employee ID]],Tbl_Employee_Details[],4,0)</f>
        <v>Male</v>
      </c>
      <c r="C194" t="str">
        <f>VLOOKUP(Table4[[#This Row],[Employee ID]],Tbl_Employee_Details[],7,)</f>
        <v>China</v>
      </c>
      <c r="D194" t="str">
        <f>VLOOKUP(Table4[[#This Row],[Employee ID]],Tbl_Employee_Details[],17,FALSE)</f>
        <v>HR</v>
      </c>
      <c r="E194" s="6">
        <f ca="1">VLOOKUP(Table4[[#This Row],[Employee ID]],Tbl_Employee_Details[],16,FALSE)</f>
        <v>20.580555555555556</v>
      </c>
      <c r="F194" t="str">
        <f>VLOOKUP(Table4[[#This Row],[Employee ID]],Tbl_Employee_Details[],18,FALSE)</f>
        <v>Dubai</v>
      </c>
      <c r="G194" t="str">
        <f>VLOOKUP(Table4[[#This Row],[Employee ID]],Tbl_Emp_Onboarding[],8,FALSE)</f>
        <v>Post Graduation/Masters</v>
      </c>
    </row>
    <row r="195" spans="1:7" x14ac:dyDescent="0.3">
      <c r="A195" s="17">
        <v>102788</v>
      </c>
      <c r="B195" t="str">
        <f>VLOOKUP(Table4[[#This Row],[Employee ID]],Tbl_Employee_Details[],4,0)</f>
        <v>Male</v>
      </c>
      <c r="C195" t="str">
        <f>VLOOKUP(Table4[[#This Row],[Employee ID]],Tbl_Employee_Details[],7,)</f>
        <v>Indonesia</v>
      </c>
      <c r="D195" t="str">
        <f>VLOOKUP(Table4[[#This Row],[Employee ID]],Tbl_Employee_Details[],17,FALSE)</f>
        <v>Sales</v>
      </c>
      <c r="E195" s="6">
        <f ca="1">VLOOKUP(Table4[[#This Row],[Employee ID]],Tbl_Employee_Details[],16,FALSE)</f>
        <v>40.87777777777778</v>
      </c>
      <c r="F195" t="str">
        <f>VLOOKUP(Table4[[#This Row],[Employee ID]],Tbl_Employee_Details[],18,FALSE)</f>
        <v>Paris</v>
      </c>
      <c r="G195" t="str">
        <f>VLOOKUP(Table4[[#This Row],[Employee ID]],Tbl_Emp_Onboarding[],8,FALSE)</f>
        <v>NA</v>
      </c>
    </row>
    <row r="196" spans="1:7" x14ac:dyDescent="0.3">
      <c r="A196" s="17">
        <v>103273</v>
      </c>
      <c r="B196" t="str">
        <f>VLOOKUP(Table4[[#This Row],[Employee ID]],Tbl_Employee_Details[],4,0)</f>
        <v>Male</v>
      </c>
      <c r="C196" t="str">
        <f>VLOOKUP(Table4[[#This Row],[Employee ID]],Tbl_Employee_Details[],7,)</f>
        <v>China</v>
      </c>
      <c r="D196" t="str">
        <f>VLOOKUP(Table4[[#This Row],[Employee ID]],Tbl_Employee_Details[],17,FALSE)</f>
        <v>Finance</v>
      </c>
      <c r="E196" s="6">
        <f ca="1">VLOOKUP(Table4[[#This Row],[Employee ID]],Tbl_Employee_Details[],16,FALSE)</f>
        <v>19.338888888888889</v>
      </c>
      <c r="F196" t="str">
        <f>VLOOKUP(Table4[[#This Row],[Employee ID]],Tbl_Employee_Details[],18,FALSE)</f>
        <v>Dubai</v>
      </c>
      <c r="G196" t="str">
        <f>VLOOKUP(Table4[[#This Row],[Employee ID]],Tbl_Emp_Onboarding[],8,FALSE)</f>
        <v>PHD</v>
      </c>
    </row>
    <row r="197" spans="1:7" x14ac:dyDescent="0.3">
      <c r="A197" s="17">
        <v>102918</v>
      </c>
      <c r="B197" t="str">
        <f>VLOOKUP(Table4[[#This Row],[Employee ID]],Tbl_Employee_Details[],4,0)</f>
        <v>Female</v>
      </c>
      <c r="C197" t="str">
        <f>VLOOKUP(Table4[[#This Row],[Employee ID]],Tbl_Employee_Details[],7,)</f>
        <v>South Africa</v>
      </c>
      <c r="D197" t="str">
        <f>VLOOKUP(Table4[[#This Row],[Employee ID]],Tbl_Employee_Details[],17,FALSE)</f>
        <v>Sales</v>
      </c>
      <c r="E197" s="6">
        <f ca="1">VLOOKUP(Table4[[#This Row],[Employee ID]],Tbl_Employee_Details[],16,FALSE)</f>
        <v>28.066666666666666</v>
      </c>
      <c r="F197" t="str">
        <f>VLOOKUP(Table4[[#This Row],[Employee ID]],Tbl_Employee_Details[],18,FALSE)</f>
        <v>Paris</v>
      </c>
      <c r="G197" t="str">
        <f>VLOOKUP(Table4[[#This Row],[Employee ID]],Tbl_Emp_Onboarding[],8,FALSE)</f>
        <v>Undergrad</v>
      </c>
    </row>
    <row r="198" spans="1:7" x14ac:dyDescent="0.3">
      <c r="A198" s="17">
        <v>105624</v>
      </c>
      <c r="B198" t="str">
        <f>VLOOKUP(Table4[[#This Row],[Employee ID]],Tbl_Employee_Details[],4,0)</f>
        <v>Male</v>
      </c>
      <c r="C198" t="str">
        <f>VLOOKUP(Table4[[#This Row],[Employee ID]],Tbl_Employee_Details[],7,)</f>
        <v>Central African Republic</v>
      </c>
      <c r="D198" t="str">
        <f>VLOOKUP(Table4[[#This Row],[Employee ID]],Tbl_Employee_Details[],17,FALSE)</f>
        <v>IT &amp; Admin</v>
      </c>
      <c r="E198" s="6">
        <f ca="1">VLOOKUP(Table4[[#This Row],[Employee ID]],Tbl_Employee_Details[],16,FALSE)</f>
        <v>39.1</v>
      </c>
      <c r="F198" t="str">
        <f>VLOOKUP(Table4[[#This Row],[Employee ID]],Tbl_Employee_Details[],18,FALSE)</f>
        <v>California</v>
      </c>
      <c r="G198" t="str">
        <f>VLOOKUP(Table4[[#This Row],[Employee ID]],Tbl_Emp_Onboarding[],8,FALSE)</f>
        <v>PHD</v>
      </c>
    </row>
    <row r="199" spans="1:7" x14ac:dyDescent="0.3">
      <c r="A199" s="17">
        <v>106983</v>
      </c>
      <c r="B199" t="str">
        <f>VLOOKUP(Table4[[#This Row],[Employee ID]],Tbl_Employee_Details[],4,0)</f>
        <v>Female</v>
      </c>
      <c r="C199" t="str">
        <f>VLOOKUP(Table4[[#This Row],[Employee ID]],Tbl_Employee_Details[],7,)</f>
        <v>Thailand</v>
      </c>
      <c r="D199" t="str">
        <f>VLOOKUP(Table4[[#This Row],[Employee ID]],Tbl_Employee_Details[],17,FALSE)</f>
        <v>Sales</v>
      </c>
      <c r="E199" s="6">
        <f ca="1">VLOOKUP(Table4[[#This Row],[Employee ID]],Tbl_Employee_Details[],16,FALSE)</f>
        <v>22.238888888888887</v>
      </c>
      <c r="F199" t="str">
        <f>VLOOKUP(Table4[[#This Row],[Employee ID]],Tbl_Employee_Details[],18,FALSE)</f>
        <v>New York</v>
      </c>
      <c r="G199" t="str">
        <f>VLOOKUP(Table4[[#This Row],[Employee ID]],Tbl_Emp_Onboarding[],8,FALSE)</f>
        <v>Student</v>
      </c>
    </row>
    <row r="200" spans="1:7" x14ac:dyDescent="0.3">
      <c r="A200" s="17">
        <v>104290</v>
      </c>
      <c r="B200" t="str">
        <f>VLOOKUP(Table4[[#This Row],[Employee ID]],Tbl_Employee_Details[],4,0)</f>
        <v>Female</v>
      </c>
      <c r="C200" t="str">
        <f>VLOOKUP(Table4[[#This Row],[Employee ID]],Tbl_Employee_Details[],7,)</f>
        <v>Lebanon</v>
      </c>
      <c r="D200" t="str">
        <f>VLOOKUP(Table4[[#This Row],[Employee ID]],Tbl_Employee_Details[],17,FALSE)</f>
        <v>Inventory</v>
      </c>
      <c r="E200" s="6">
        <f ca="1">VLOOKUP(Table4[[#This Row],[Employee ID]],Tbl_Employee_Details[],16,FALSE)</f>
        <v>34.013888888888886</v>
      </c>
      <c r="F200" t="str">
        <f>VLOOKUP(Table4[[#This Row],[Employee ID]],Tbl_Employee_Details[],18,FALSE)</f>
        <v>Mumbai</v>
      </c>
      <c r="G200" t="str">
        <f>VLOOKUP(Table4[[#This Row],[Employee ID]],Tbl_Emp_Onboarding[],8,FALSE)</f>
        <v>PHD</v>
      </c>
    </row>
    <row r="201" spans="1:7" x14ac:dyDescent="0.3">
      <c r="A201" s="17">
        <v>107121</v>
      </c>
      <c r="B201" t="str">
        <f>VLOOKUP(Table4[[#This Row],[Employee ID]],Tbl_Employee_Details[],4,0)</f>
        <v>Male</v>
      </c>
      <c r="C201" t="str">
        <f>VLOOKUP(Table4[[#This Row],[Employee ID]],Tbl_Employee_Details[],7,)</f>
        <v>Indonesia</v>
      </c>
      <c r="D201" t="str">
        <f>VLOOKUP(Table4[[#This Row],[Employee ID]],Tbl_Employee_Details[],17,FALSE)</f>
        <v>Sales</v>
      </c>
      <c r="E201" s="6">
        <f ca="1">VLOOKUP(Table4[[#This Row],[Employee ID]],Tbl_Employee_Details[],16,FALSE)</f>
        <v>34.822222222222223</v>
      </c>
      <c r="F201" t="str">
        <f>VLOOKUP(Table4[[#This Row],[Employee ID]],Tbl_Employee_Details[],18,FALSE)</f>
        <v>Bangalore</v>
      </c>
      <c r="G201" t="str">
        <f>VLOOKUP(Table4[[#This Row],[Employee ID]],Tbl_Emp_Onboarding[],8,FALSE)</f>
        <v>Graduation/Bachelors</v>
      </c>
    </row>
    <row r="202" spans="1:7" x14ac:dyDescent="0.3">
      <c r="A202" s="17">
        <v>107507</v>
      </c>
      <c r="B202" t="str">
        <f>VLOOKUP(Table4[[#This Row],[Employee ID]],Tbl_Employee_Details[],4,0)</f>
        <v>Female</v>
      </c>
      <c r="C202" t="str">
        <f>VLOOKUP(Table4[[#This Row],[Employee ID]],Tbl_Employee_Details[],7,)</f>
        <v>Indonesia</v>
      </c>
      <c r="D202" t="str">
        <f>VLOOKUP(Table4[[#This Row],[Employee ID]],Tbl_Employee_Details[],17,FALSE)</f>
        <v xml:space="preserve">Marketing </v>
      </c>
      <c r="E202" s="6">
        <f ca="1">VLOOKUP(Table4[[#This Row],[Employee ID]],Tbl_Employee_Details[],16,FALSE)</f>
        <v>39.43611111111111</v>
      </c>
      <c r="F202" t="str">
        <f>VLOOKUP(Table4[[#This Row],[Employee ID]],Tbl_Employee_Details[],18,FALSE)</f>
        <v>Mumbai</v>
      </c>
      <c r="G202" t="str">
        <f>VLOOKUP(Table4[[#This Row],[Employee ID]],Tbl_Emp_Onboarding[],8,FALSE)</f>
        <v>PHD</v>
      </c>
    </row>
    <row r="203" spans="1:7" x14ac:dyDescent="0.3">
      <c r="A203" s="17">
        <v>104505</v>
      </c>
      <c r="B203" t="str">
        <f>VLOOKUP(Table4[[#This Row],[Employee ID]],Tbl_Employee_Details[],4,0)</f>
        <v>Female</v>
      </c>
      <c r="C203" t="str">
        <f>VLOOKUP(Table4[[#This Row],[Employee ID]],Tbl_Employee_Details[],7,)</f>
        <v>Argentina</v>
      </c>
      <c r="D203" t="str">
        <f>VLOOKUP(Table4[[#This Row],[Employee ID]],Tbl_Employee_Details[],17,FALSE)</f>
        <v>Sales</v>
      </c>
      <c r="E203" s="6">
        <f ca="1">VLOOKUP(Table4[[#This Row],[Employee ID]],Tbl_Employee_Details[],16,FALSE)</f>
        <v>33.791666666666664</v>
      </c>
      <c r="F203" t="str">
        <f>VLOOKUP(Table4[[#This Row],[Employee ID]],Tbl_Employee_Details[],18,FALSE)</f>
        <v>New York</v>
      </c>
      <c r="G203" t="str">
        <f>VLOOKUP(Table4[[#This Row],[Employee ID]],Tbl_Emp_Onboarding[],8,FALSE)</f>
        <v>Student</v>
      </c>
    </row>
    <row r="204" spans="1:7" x14ac:dyDescent="0.3">
      <c r="A204" s="17">
        <v>105076</v>
      </c>
      <c r="B204" t="str">
        <f>VLOOKUP(Table4[[#This Row],[Employee ID]],Tbl_Employee_Details[],4,0)</f>
        <v>Female</v>
      </c>
      <c r="C204" t="str">
        <f>VLOOKUP(Table4[[#This Row],[Employee ID]],Tbl_Employee_Details[],7,)</f>
        <v>Philippines</v>
      </c>
      <c r="D204" t="str">
        <f>VLOOKUP(Table4[[#This Row],[Employee ID]],Tbl_Employee_Details[],17,FALSE)</f>
        <v>Sales</v>
      </c>
      <c r="E204" s="6">
        <f ca="1">VLOOKUP(Table4[[#This Row],[Employee ID]],Tbl_Employee_Details[],16,FALSE)</f>
        <v>22.755555555555556</v>
      </c>
      <c r="F204" t="str">
        <f>VLOOKUP(Table4[[#This Row],[Employee ID]],Tbl_Employee_Details[],18,FALSE)</f>
        <v>Dubai</v>
      </c>
      <c r="G204" t="str">
        <f>VLOOKUP(Table4[[#This Row],[Employee ID]],Tbl_Emp_Onboarding[],8,FALSE)</f>
        <v>Student</v>
      </c>
    </row>
    <row r="205" spans="1:7" x14ac:dyDescent="0.3">
      <c r="A205" s="17">
        <v>108216</v>
      </c>
      <c r="B205" t="str">
        <f>VLOOKUP(Table4[[#This Row],[Employee ID]],Tbl_Employee_Details[],4,0)</f>
        <v>Male</v>
      </c>
      <c r="C205" t="str">
        <f>VLOOKUP(Table4[[#This Row],[Employee ID]],Tbl_Employee_Details[],7,)</f>
        <v>Cameroon</v>
      </c>
      <c r="D205" t="str">
        <f>VLOOKUP(Table4[[#This Row],[Employee ID]],Tbl_Employee_Details[],17,FALSE)</f>
        <v>Quality Assurance</v>
      </c>
      <c r="E205" s="6">
        <f ca="1">VLOOKUP(Table4[[#This Row],[Employee ID]],Tbl_Employee_Details[],16,FALSE)</f>
        <v>22.477777777777778</v>
      </c>
      <c r="F205" t="str">
        <f>VLOOKUP(Table4[[#This Row],[Employee ID]],Tbl_Employee_Details[],18,FALSE)</f>
        <v>Paris</v>
      </c>
      <c r="G205" t="str">
        <f>VLOOKUP(Table4[[#This Row],[Employee ID]],Tbl_Emp_Onboarding[],8,FALSE)</f>
        <v>Post Graduation/Masters</v>
      </c>
    </row>
    <row r="206" spans="1:7" x14ac:dyDescent="0.3">
      <c r="A206" s="17">
        <v>106316</v>
      </c>
      <c r="B206" t="str">
        <f>VLOOKUP(Table4[[#This Row],[Employee ID]],Tbl_Employee_Details[],4,0)</f>
        <v>Male</v>
      </c>
      <c r="C206" t="str">
        <f>VLOOKUP(Table4[[#This Row],[Employee ID]],Tbl_Employee_Details[],7,)</f>
        <v>Nepal</v>
      </c>
      <c r="D206" t="str">
        <f>VLOOKUP(Table4[[#This Row],[Employee ID]],Tbl_Employee_Details[],17,FALSE)</f>
        <v>Sales</v>
      </c>
      <c r="E206" s="6">
        <f ca="1">VLOOKUP(Table4[[#This Row],[Employee ID]],Tbl_Employee_Details[],16,FALSE)</f>
        <v>19.705555555555556</v>
      </c>
      <c r="F206" t="str">
        <f>VLOOKUP(Table4[[#This Row],[Employee ID]],Tbl_Employee_Details[],18,FALSE)</f>
        <v>Dubai</v>
      </c>
      <c r="G206" t="str">
        <f>VLOOKUP(Table4[[#This Row],[Employee ID]],Tbl_Emp_Onboarding[],8,FALSE)</f>
        <v>Student</v>
      </c>
    </row>
    <row r="207" spans="1:7" x14ac:dyDescent="0.3">
      <c r="A207" s="17">
        <v>106408</v>
      </c>
      <c r="B207" t="str">
        <f>VLOOKUP(Table4[[#This Row],[Employee ID]],Tbl_Employee_Details[],4,0)</f>
        <v>Male</v>
      </c>
      <c r="C207" t="str">
        <f>VLOOKUP(Table4[[#This Row],[Employee ID]],Tbl_Employee_Details[],7,)</f>
        <v>India</v>
      </c>
      <c r="D207" t="str">
        <f>VLOOKUP(Table4[[#This Row],[Employee ID]],Tbl_Employee_Details[],17,FALSE)</f>
        <v>Operational</v>
      </c>
      <c r="E207" s="6">
        <f ca="1">VLOOKUP(Table4[[#This Row],[Employee ID]],Tbl_Employee_Details[],16,FALSE)</f>
        <v>21.274999999999999</v>
      </c>
      <c r="F207" t="str">
        <f>VLOOKUP(Table4[[#This Row],[Employee ID]],Tbl_Employee_Details[],18,FALSE)</f>
        <v>Dubai</v>
      </c>
      <c r="G207" t="str">
        <f>VLOOKUP(Table4[[#This Row],[Employee ID]],Tbl_Emp_Onboarding[],8,FALSE)</f>
        <v>Post Graduation/Masters</v>
      </c>
    </row>
    <row r="208" spans="1:7" x14ac:dyDescent="0.3">
      <c r="A208" s="17">
        <v>103424</v>
      </c>
      <c r="B208" t="str">
        <f>VLOOKUP(Table4[[#This Row],[Employee ID]],Tbl_Employee_Details[],4,0)</f>
        <v>Male</v>
      </c>
      <c r="C208" t="str">
        <f>VLOOKUP(Table4[[#This Row],[Employee ID]],Tbl_Employee_Details[],7,)</f>
        <v>India</v>
      </c>
      <c r="D208" t="str">
        <f>VLOOKUP(Table4[[#This Row],[Employee ID]],Tbl_Employee_Details[],17,FALSE)</f>
        <v>Sales</v>
      </c>
      <c r="E208" s="6">
        <f ca="1">VLOOKUP(Table4[[#This Row],[Employee ID]],Tbl_Employee_Details[],16,FALSE)</f>
        <v>41.272222222222226</v>
      </c>
      <c r="F208" t="str">
        <f>VLOOKUP(Table4[[#This Row],[Employee ID]],Tbl_Employee_Details[],18,FALSE)</f>
        <v>Bangalore</v>
      </c>
      <c r="G208" t="str">
        <f>VLOOKUP(Table4[[#This Row],[Employee ID]],Tbl_Emp_Onboarding[],8,FALSE)</f>
        <v>Graduation/Bachelors</v>
      </c>
    </row>
    <row r="209" spans="1:7" x14ac:dyDescent="0.3">
      <c r="A209" s="17">
        <v>102135</v>
      </c>
      <c r="B209" t="str">
        <f>VLOOKUP(Table4[[#This Row],[Employee ID]],Tbl_Employee_Details[],4,0)</f>
        <v>Female</v>
      </c>
      <c r="C209" t="str">
        <f>VLOOKUP(Table4[[#This Row],[Employee ID]],Tbl_Employee_Details[],7,)</f>
        <v>Sweden</v>
      </c>
      <c r="D209" t="str">
        <f>VLOOKUP(Table4[[#This Row],[Employee ID]],Tbl_Employee_Details[],17,FALSE)</f>
        <v>Sales</v>
      </c>
      <c r="E209" s="6">
        <f ca="1">VLOOKUP(Table4[[#This Row],[Employee ID]],Tbl_Employee_Details[],16,FALSE)</f>
        <v>23.652777777777779</v>
      </c>
      <c r="F209" t="str">
        <f>VLOOKUP(Table4[[#This Row],[Employee ID]],Tbl_Employee_Details[],18,FALSE)</f>
        <v>Toulouse</v>
      </c>
      <c r="G209" t="str">
        <f>VLOOKUP(Table4[[#This Row],[Employee ID]],Tbl_Emp_Onboarding[],8,FALSE)</f>
        <v>Undergrad</v>
      </c>
    </row>
    <row r="210" spans="1:7" x14ac:dyDescent="0.3">
      <c r="A210" s="17">
        <v>105733</v>
      </c>
      <c r="B210" t="str">
        <f>VLOOKUP(Table4[[#This Row],[Employee ID]],Tbl_Employee_Details[],4,0)</f>
        <v>Male</v>
      </c>
      <c r="C210" t="str">
        <f>VLOOKUP(Table4[[#This Row],[Employee ID]],Tbl_Employee_Details[],7,)</f>
        <v>India</v>
      </c>
      <c r="D210" t="str">
        <f>VLOOKUP(Table4[[#This Row],[Employee ID]],Tbl_Employee_Details[],17,FALSE)</f>
        <v>Sales</v>
      </c>
      <c r="E210" s="6">
        <f ca="1">VLOOKUP(Table4[[#This Row],[Employee ID]],Tbl_Employee_Details[],16,FALSE)</f>
        <v>38.174999999999997</v>
      </c>
      <c r="F210" t="str">
        <f>VLOOKUP(Table4[[#This Row],[Employee ID]],Tbl_Employee_Details[],18,FALSE)</f>
        <v>London</v>
      </c>
      <c r="G210" t="str">
        <f>VLOOKUP(Table4[[#This Row],[Employee ID]],Tbl_Emp_Onboarding[],8,FALSE)</f>
        <v>Graduation/Bachelors</v>
      </c>
    </row>
    <row r="211" spans="1:7" x14ac:dyDescent="0.3">
      <c r="A211" s="17">
        <v>104888</v>
      </c>
      <c r="B211" t="str">
        <f>VLOOKUP(Table4[[#This Row],[Employee ID]],Tbl_Employee_Details[],4,0)</f>
        <v>Female</v>
      </c>
      <c r="C211" t="str">
        <f>VLOOKUP(Table4[[#This Row],[Employee ID]],Tbl_Employee_Details[],7,)</f>
        <v>Guam</v>
      </c>
      <c r="D211" t="str">
        <f>VLOOKUP(Table4[[#This Row],[Employee ID]],Tbl_Employee_Details[],17,FALSE)</f>
        <v>Sales</v>
      </c>
      <c r="E211" s="6">
        <f ca="1">VLOOKUP(Table4[[#This Row],[Employee ID]],Tbl_Employee_Details[],16,FALSE)</f>
        <v>28.072222222222223</v>
      </c>
      <c r="F211" t="str">
        <f>VLOOKUP(Table4[[#This Row],[Employee ID]],Tbl_Employee_Details[],18,FALSE)</f>
        <v>Bangalore</v>
      </c>
      <c r="G211" t="str">
        <f>VLOOKUP(Table4[[#This Row],[Employee ID]],Tbl_Emp_Onboarding[],8,FALSE)</f>
        <v>Post Graduation/Masters</v>
      </c>
    </row>
    <row r="212" spans="1:7" x14ac:dyDescent="0.3">
      <c r="A212" s="17">
        <v>104523</v>
      </c>
      <c r="B212" t="str">
        <f>VLOOKUP(Table4[[#This Row],[Employee ID]],Tbl_Employee_Details[],4,0)</f>
        <v>Male</v>
      </c>
      <c r="C212" t="str">
        <f>VLOOKUP(Table4[[#This Row],[Employee ID]],Tbl_Employee_Details[],7,)</f>
        <v>Honduras</v>
      </c>
      <c r="D212" t="str">
        <f>VLOOKUP(Table4[[#This Row],[Employee ID]],Tbl_Employee_Details[],17,FALSE)</f>
        <v>Sales</v>
      </c>
      <c r="E212" s="6">
        <f ca="1">VLOOKUP(Table4[[#This Row],[Employee ID]],Tbl_Employee_Details[],16,FALSE)</f>
        <v>22.086111111111112</v>
      </c>
      <c r="F212" t="str">
        <f>VLOOKUP(Table4[[#This Row],[Employee ID]],Tbl_Employee_Details[],18,FALSE)</f>
        <v>Dubai</v>
      </c>
      <c r="G212" t="str">
        <f>VLOOKUP(Table4[[#This Row],[Employee ID]],Tbl_Emp_Onboarding[],8,FALSE)</f>
        <v>Student</v>
      </c>
    </row>
    <row r="213" spans="1:7" x14ac:dyDescent="0.3">
      <c r="A213" s="17">
        <v>102730</v>
      </c>
      <c r="B213" t="str">
        <f>VLOOKUP(Table4[[#This Row],[Employee ID]],Tbl_Employee_Details[],4,0)</f>
        <v>Female</v>
      </c>
      <c r="C213" t="str">
        <f>VLOOKUP(Table4[[#This Row],[Employee ID]],Tbl_Employee_Details[],7,)</f>
        <v>Belarus</v>
      </c>
      <c r="D213" t="str">
        <f>VLOOKUP(Table4[[#This Row],[Employee ID]],Tbl_Employee_Details[],17,FALSE)</f>
        <v>Sales</v>
      </c>
      <c r="E213" s="6">
        <f ca="1">VLOOKUP(Table4[[#This Row],[Employee ID]],Tbl_Employee_Details[],16,FALSE)</f>
        <v>40.447222222222223</v>
      </c>
      <c r="F213" t="str">
        <f>VLOOKUP(Table4[[#This Row],[Employee ID]],Tbl_Employee_Details[],18,FALSE)</f>
        <v>New York</v>
      </c>
      <c r="G213" t="str">
        <f>VLOOKUP(Table4[[#This Row],[Employee ID]],Tbl_Emp_Onboarding[],8,FALSE)</f>
        <v>NA</v>
      </c>
    </row>
    <row r="214" spans="1:7" x14ac:dyDescent="0.3">
      <c r="A214" s="17">
        <v>106198</v>
      </c>
      <c r="B214" t="str">
        <f>VLOOKUP(Table4[[#This Row],[Employee ID]],Tbl_Employee_Details[],4,0)</f>
        <v>Female</v>
      </c>
      <c r="C214" t="str">
        <f>VLOOKUP(Table4[[#This Row],[Employee ID]],Tbl_Employee_Details[],7,)</f>
        <v>Netherlands</v>
      </c>
      <c r="D214" t="str">
        <f>VLOOKUP(Table4[[#This Row],[Employee ID]],Tbl_Employee_Details[],17,FALSE)</f>
        <v>Sales</v>
      </c>
      <c r="E214" s="6">
        <f ca="1">VLOOKUP(Table4[[#This Row],[Employee ID]],Tbl_Employee_Details[],16,FALSE)</f>
        <v>36.369444444444447</v>
      </c>
      <c r="F214" t="str">
        <f>VLOOKUP(Table4[[#This Row],[Employee ID]],Tbl_Employee_Details[],18,FALSE)</f>
        <v>California</v>
      </c>
      <c r="G214" t="str">
        <f>VLOOKUP(Table4[[#This Row],[Employee ID]],Tbl_Emp_Onboarding[],8,FALSE)</f>
        <v>PHD</v>
      </c>
    </row>
    <row r="215" spans="1:7" x14ac:dyDescent="0.3">
      <c r="A215" s="17">
        <v>107211</v>
      </c>
      <c r="B215" t="str">
        <f>VLOOKUP(Table4[[#This Row],[Employee ID]],Tbl_Employee_Details[],4,0)</f>
        <v>Male</v>
      </c>
      <c r="C215" t="str">
        <f>VLOOKUP(Table4[[#This Row],[Employee ID]],Tbl_Employee_Details[],7,)</f>
        <v>Indonesia</v>
      </c>
      <c r="D215" t="str">
        <f>VLOOKUP(Table4[[#This Row],[Employee ID]],Tbl_Employee_Details[],17,FALSE)</f>
        <v>Sales</v>
      </c>
      <c r="E215" s="6">
        <f ca="1">VLOOKUP(Table4[[#This Row],[Employee ID]],Tbl_Employee_Details[],16,FALSE)</f>
        <v>21.488888888888887</v>
      </c>
      <c r="F215" t="str">
        <f>VLOOKUP(Table4[[#This Row],[Employee ID]],Tbl_Employee_Details[],18,FALSE)</f>
        <v>New York</v>
      </c>
      <c r="G215" t="str">
        <f>VLOOKUP(Table4[[#This Row],[Employee ID]],Tbl_Emp_Onboarding[],8,FALSE)</f>
        <v>Graduation/Bachelors</v>
      </c>
    </row>
    <row r="216" spans="1:7" x14ac:dyDescent="0.3">
      <c r="A216" s="17">
        <v>102922</v>
      </c>
      <c r="B216" t="str">
        <f>VLOOKUP(Table4[[#This Row],[Employee ID]],Tbl_Employee_Details[],4,0)</f>
        <v>Female</v>
      </c>
      <c r="C216" t="str">
        <f>VLOOKUP(Table4[[#This Row],[Employee ID]],Tbl_Employee_Details[],7,)</f>
        <v>Indonesia</v>
      </c>
      <c r="D216" t="str">
        <f>VLOOKUP(Table4[[#This Row],[Employee ID]],Tbl_Employee_Details[],17,FALSE)</f>
        <v>Sales</v>
      </c>
      <c r="E216" s="6">
        <f ca="1">VLOOKUP(Table4[[#This Row],[Employee ID]],Tbl_Employee_Details[],16,FALSE)</f>
        <v>43.791666666666664</v>
      </c>
      <c r="F216" t="str">
        <f>VLOOKUP(Table4[[#This Row],[Employee ID]],Tbl_Employee_Details[],18,FALSE)</f>
        <v>New York</v>
      </c>
      <c r="G216" t="str">
        <f>VLOOKUP(Table4[[#This Row],[Employee ID]],Tbl_Emp_Onboarding[],8,FALSE)</f>
        <v>Student</v>
      </c>
    </row>
    <row r="217" spans="1:7" x14ac:dyDescent="0.3">
      <c r="A217" s="17">
        <v>104698</v>
      </c>
      <c r="B217" t="str">
        <f>VLOOKUP(Table4[[#This Row],[Employee ID]],Tbl_Employee_Details[],4,0)</f>
        <v>Female</v>
      </c>
      <c r="C217" t="str">
        <f>VLOOKUP(Table4[[#This Row],[Employee ID]],Tbl_Employee_Details[],7,)</f>
        <v>China</v>
      </c>
      <c r="D217" t="str">
        <f>VLOOKUP(Table4[[#This Row],[Employee ID]],Tbl_Employee_Details[],17,FALSE)</f>
        <v>Sales</v>
      </c>
      <c r="E217" s="6">
        <f ca="1">VLOOKUP(Table4[[#This Row],[Employee ID]],Tbl_Employee_Details[],16,FALSE)</f>
        <v>39.427777777777777</v>
      </c>
      <c r="F217" t="str">
        <f>VLOOKUP(Table4[[#This Row],[Employee ID]],Tbl_Employee_Details[],18,FALSE)</f>
        <v>California</v>
      </c>
      <c r="G217" t="str">
        <f>VLOOKUP(Table4[[#This Row],[Employee ID]],Tbl_Emp_Onboarding[],8,FALSE)</f>
        <v>Undergrad</v>
      </c>
    </row>
    <row r="218" spans="1:7" x14ac:dyDescent="0.3">
      <c r="A218" s="17">
        <v>105936</v>
      </c>
      <c r="B218" t="str">
        <f>VLOOKUP(Table4[[#This Row],[Employee ID]],Tbl_Employee_Details[],4,0)</f>
        <v>Female</v>
      </c>
      <c r="C218" t="str">
        <f>VLOOKUP(Table4[[#This Row],[Employee ID]],Tbl_Employee_Details[],7,)</f>
        <v>Thailand</v>
      </c>
      <c r="D218" t="str">
        <f>VLOOKUP(Table4[[#This Row],[Employee ID]],Tbl_Employee_Details[],17,FALSE)</f>
        <v>Sales</v>
      </c>
      <c r="E218" s="6">
        <f ca="1">VLOOKUP(Table4[[#This Row],[Employee ID]],Tbl_Employee_Details[],16,FALSE)</f>
        <v>24.808333333333334</v>
      </c>
      <c r="F218" t="str">
        <f>VLOOKUP(Table4[[#This Row],[Employee ID]],Tbl_Employee_Details[],18,FALSE)</f>
        <v>Toulouse</v>
      </c>
      <c r="G218" t="str">
        <f>VLOOKUP(Table4[[#This Row],[Employee ID]],Tbl_Emp_Onboarding[],8,FALSE)</f>
        <v>Graduation/Bachelors</v>
      </c>
    </row>
    <row r="219" spans="1:7" x14ac:dyDescent="0.3">
      <c r="A219" s="17">
        <v>105279</v>
      </c>
      <c r="B219" t="str">
        <f>VLOOKUP(Table4[[#This Row],[Employee ID]],Tbl_Employee_Details[],4,0)</f>
        <v>Male</v>
      </c>
      <c r="C219" t="str">
        <f>VLOOKUP(Table4[[#This Row],[Employee ID]],Tbl_Employee_Details[],7,)</f>
        <v>China</v>
      </c>
      <c r="D219" t="str">
        <f>VLOOKUP(Table4[[#This Row],[Employee ID]],Tbl_Employee_Details[],17,FALSE)</f>
        <v>Sales</v>
      </c>
      <c r="E219" s="6">
        <f ca="1">VLOOKUP(Table4[[#This Row],[Employee ID]],Tbl_Employee_Details[],16,FALSE)</f>
        <v>43.086111111111109</v>
      </c>
      <c r="F219" t="str">
        <f>VLOOKUP(Table4[[#This Row],[Employee ID]],Tbl_Employee_Details[],18,FALSE)</f>
        <v>New York</v>
      </c>
      <c r="G219" t="str">
        <f>VLOOKUP(Table4[[#This Row],[Employee ID]],Tbl_Emp_Onboarding[],8,FALSE)</f>
        <v>Graduation/Bachelors</v>
      </c>
    </row>
    <row r="220" spans="1:7" x14ac:dyDescent="0.3">
      <c r="A220" s="17">
        <v>105093</v>
      </c>
      <c r="B220" t="str">
        <f>VLOOKUP(Table4[[#This Row],[Employee ID]],Tbl_Employee_Details[],4,0)</f>
        <v>Female</v>
      </c>
      <c r="C220" t="str">
        <f>VLOOKUP(Table4[[#This Row],[Employee ID]],Tbl_Employee_Details[],7,)</f>
        <v>China</v>
      </c>
      <c r="D220" t="str">
        <f>VLOOKUP(Table4[[#This Row],[Employee ID]],Tbl_Employee_Details[],17,FALSE)</f>
        <v>HR</v>
      </c>
      <c r="E220" s="6">
        <f ca="1">VLOOKUP(Table4[[#This Row],[Employee ID]],Tbl_Employee_Details[],16,FALSE)</f>
        <v>43.555555555555557</v>
      </c>
      <c r="F220" t="str">
        <f>VLOOKUP(Table4[[#This Row],[Employee ID]],Tbl_Employee_Details[],18,FALSE)</f>
        <v>Mumbai</v>
      </c>
      <c r="G220" t="str">
        <f>VLOOKUP(Table4[[#This Row],[Employee ID]],Tbl_Emp_Onboarding[],8,FALSE)</f>
        <v>Post Graduation/Masters</v>
      </c>
    </row>
    <row r="221" spans="1:7" x14ac:dyDescent="0.3">
      <c r="A221" s="17">
        <v>107190</v>
      </c>
      <c r="B221" t="str">
        <f>VLOOKUP(Table4[[#This Row],[Employee ID]],Tbl_Employee_Details[],4,0)</f>
        <v>Female</v>
      </c>
      <c r="C221" t="str">
        <f>VLOOKUP(Table4[[#This Row],[Employee ID]],Tbl_Employee_Details[],7,)</f>
        <v>Brazil</v>
      </c>
      <c r="D221" t="str">
        <f>VLOOKUP(Table4[[#This Row],[Employee ID]],Tbl_Employee_Details[],17,FALSE)</f>
        <v>Sales</v>
      </c>
      <c r="E221" s="6">
        <f ca="1">VLOOKUP(Table4[[#This Row],[Employee ID]],Tbl_Employee_Details[],16,FALSE)</f>
        <v>20.069444444444443</v>
      </c>
      <c r="F221" t="str">
        <f>VLOOKUP(Table4[[#This Row],[Employee ID]],Tbl_Employee_Details[],18,FALSE)</f>
        <v>Mumbai</v>
      </c>
      <c r="G221" t="str">
        <f>VLOOKUP(Table4[[#This Row],[Employee ID]],Tbl_Emp_Onboarding[],8,FALSE)</f>
        <v>NA</v>
      </c>
    </row>
    <row r="222" spans="1:7" x14ac:dyDescent="0.3">
      <c r="A222" s="17">
        <v>106665</v>
      </c>
      <c r="B222" t="str">
        <f>VLOOKUP(Table4[[#This Row],[Employee ID]],Tbl_Employee_Details[],4,0)</f>
        <v>Female</v>
      </c>
      <c r="C222" t="str">
        <f>VLOOKUP(Table4[[#This Row],[Employee ID]],Tbl_Employee_Details[],7,)</f>
        <v>Greece</v>
      </c>
      <c r="D222" t="str">
        <f>VLOOKUP(Table4[[#This Row],[Employee ID]],Tbl_Employee_Details[],17,FALSE)</f>
        <v>Sales</v>
      </c>
      <c r="E222" s="6">
        <f ca="1">VLOOKUP(Table4[[#This Row],[Employee ID]],Tbl_Employee_Details[],16,FALSE)</f>
        <v>28.68611111111111</v>
      </c>
      <c r="F222" t="str">
        <f>VLOOKUP(Table4[[#This Row],[Employee ID]],Tbl_Employee_Details[],18,FALSE)</f>
        <v>Mumbai</v>
      </c>
      <c r="G222" t="str">
        <f>VLOOKUP(Table4[[#This Row],[Employee ID]],Tbl_Emp_Onboarding[],8,FALSE)</f>
        <v>Student</v>
      </c>
    </row>
    <row r="223" spans="1:7" x14ac:dyDescent="0.3">
      <c r="A223" s="17">
        <v>102080</v>
      </c>
      <c r="B223" t="str">
        <f>VLOOKUP(Table4[[#This Row],[Employee ID]],Tbl_Employee_Details[],4,0)</f>
        <v>Male</v>
      </c>
      <c r="C223" t="str">
        <f>VLOOKUP(Table4[[#This Row],[Employee ID]],Tbl_Employee_Details[],7,)</f>
        <v>Turkey</v>
      </c>
      <c r="D223" t="str">
        <f>VLOOKUP(Table4[[#This Row],[Employee ID]],Tbl_Employee_Details[],17,FALSE)</f>
        <v>Inventory</v>
      </c>
      <c r="E223" s="6">
        <f ca="1">VLOOKUP(Table4[[#This Row],[Employee ID]],Tbl_Employee_Details[],16,FALSE)</f>
        <v>38.138888888888886</v>
      </c>
      <c r="F223" t="str">
        <f>VLOOKUP(Table4[[#This Row],[Employee ID]],Tbl_Employee_Details[],18,FALSE)</f>
        <v>California</v>
      </c>
      <c r="G223" t="str">
        <f>VLOOKUP(Table4[[#This Row],[Employee ID]],Tbl_Emp_Onboarding[],8,FALSE)</f>
        <v>Post Graduation/Masters</v>
      </c>
    </row>
    <row r="224" spans="1:7" x14ac:dyDescent="0.3">
      <c r="A224" s="17">
        <v>105769</v>
      </c>
      <c r="B224" t="str">
        <f>VLOOKUP(Table4[[#This Row],[Employee ID]],Tbl_Employee_Details[],4,0)</f>
        <v>Male</v>
      </c>
      <c r="C224" t="str">
        <f>VLOOKUP(Table4[[#This Row],[Employee ID]],Tbl_Employee_Details[],7,)</f>
        <v>Ukraine</v>
      </c>
      <c r="D224" t="str">
        <f>VLOOKUP(Table4[[#This Row],[Employee ID]],Tbl_Employee_Details[],17,FALSE)</f>
        <v>IT &amp; Admin</v>
      </c>
      <c r="E224" s="6">
        <f ca="1">VLOOKUP(Table4[[#This Row],[Employee ID]],Tbl_Employee_Details[],16,FALSE)</f>
        <v>27.697222222222223</v>
      </c>
      <c r="F224" t="str">
        <f>VLOOKUP(Table4[[#This Row],[Employee ID]],Tbl_Employee_Details[],18,FALSE)</f>
        <v>California</v>
      </c>
      <c r="G224" t="str">
        <f>VLOOKUP(Table4[[#This Row],[Employee ID]],Tbl_Emp_Onboarding[],8,FALSE)</f>
        <v>Post Graduation/Masters</v>
      </c>
    </row>
    <row r="225" spans="1:7" x14ac:dyDescent="0.3">
      <c r="A225" s="17">
        <v>104136</v>
      </c>
      <c r="B225" t="str">
        <f>VLOOKUP(Table4[[#This Row],[Employee ID]],Tbl_Employee_Details[],4,0)</f>
        <v>Female</v>
      </c>
      <c r="C225" t="str">
        <f>VLOOKUP(Table4[[#This Row],[Employee ID]],Tbl_Employee_Details[],7,)</f>
        <v>Lithuania</v>
      </c>
      <c r="D225" t="str">
        <f>VLOOKUP(Table4[[#This Row],[Employee ID]],Tbl_Employee_Details[],17,FALSE)</f>
        <v>Sales</v>
      </c>
      <c r="E225" s="6">
        <f ca="1">VLOOKUP(Table4[[#This Row],[Employee ID]],Tbl_Employee_Details[],16,FALSE)</f>
        <v>26.458333333333332</v>
      </c>
      <c r="F225" t="str">
        <f>VLOOKUP(Table4[[#This Row],[Employee ID]],Tbl_Employee_Details[],18,FALSE)</f>
        <v>London</v>
      </c>
      <c r="G225" t="str">
        <f>VLOOKUP(Table4[[#This Row],[Employee ID]],Tbl_Emp_Onboarding[],8,FALSE)</f>
        <v>Student</v>
      </c>
    </row>
    <row r="226" spans="1:7" x14ac:dyDescent="0.3">
      <c r="A226" s="17">
        <v>102196</v>
      </c>
      <c r="B226" t="str">
        <f>VLOOKUP(Table4[[#This Row],[Employee ID]],Tbl_Employee_Details[],4,0)</f>
        <v>Male</v>
      </c>
      <c r="C226" t="str">
        <f>VLOOKUP(Table4[[#This Row],[Employee ID]],Tbl_Employee_Details[],7,)</f>
        <v>Indonesia</v>
      </c>
      <c r="D226" t="str">
        <f>VLOOKUP(Table4[[#This Row],[Employee ID]],Tbl_Employee_Details[],17,FALSE)</f>
        <v>Sales</v>
      </c>
      <c r="E226" s="6">
        <f ca="1">VLOOKUP(Table4[[#This Row],[Employee ID]],Tbl_Employee_Details[],16,FALSE)</f>
        <v>37.636111111111113</v>
      </c>
      <c r="F226" t="str">
        <f>VLOOKUP(Table4[[#This Row],[Employee ID]],Tbl_Employee_Details[],18,FALSE)</f>
        <v>Toulouse</v>
      </c>
      <c r="G226" t="str">
        <f>VLOOKUP(Table4[[#This Row],[Employee ID]],Tbl_Emp_Onboarding[],8,FALSE)</f>
        <v>Graduation/Bachelors</v>
      </c>
    </row>
    <row r="227" spans="1:7" x14ac:dyDescent="0.3">
      <c r="A227" s="17">
        <v>104356</v>
      </c>
      <c r="B227" t="str">
        <f>VLOOKUP(Table4[[#This Row],[Employee ID]],Tbl_Employee_Details[],4,0)</f>
        <v>Male</v>
      </c>
      <c r="C227" t="str">
        <f>VLOOKUP(Table4[[#This Row],[Employee ID]],Tbl_Employee_Details[],7,)</f>
        <v>Palestinian National Authority</v>
      </c>
      <c r="D227" t="str">
        <f>VLOOKUP(Table4[[#This Row],[Employee ID]],Tbl_Employee_Details[],17,FALSE)</f>
        <v>Sales</v>
      </c>
      <c r="E227" s="6">
        <f ca="1">VLOOKUP(Table4[[#This Row],[Employee ID]],Tbl_Employee_Details[],16,FALSE)</f>
        <v>39.947222222222223</v>
      </c>
      <c r="F227" t="str">
        <f>VLOOKUP(Table4[[#This Row],[Employee ID]],Tbl_Employee_Details[],18,FALSE)</f>
        <v>Mumbai</v>
      </c>
      <c r="G227" t="str">
        <f>VLOOKUP(Table4[[#This Row],[Employee ID]],Tbl_Emp_Onboarding[],8,FALSE)</f>
        <v>Undergrad</v>
      </c>
    </row>
    <row r="228" spans="1:7" x14ac:dyDescent="0.3">
      <c r="A228" s="17">
        <v>102583</v>
      </c>
      <c r="B228" t="str">
        <f>VLOOKUP(Table4[[#This Row],[Employee ID]],Tbl_Employee_Details[],4,0)</f>
        <v>Female</v>
      </c>
      <c r="C228" t="str">
        <f>VLOOKUP(Table4[[#This Row],[Employee ID]],Tbl_Employee_Details[],7,)</f>
        <v>Argentina</v>
      </c>
      <c r="D228" t="str">
        <f>VLOOKUP(Table4[[#This Row],[Employee ID]],Tbl_Employee_Details[],17,FALSE)</f>
        <v>Sales</v>
      </c>
      <c r="E228" s="6">
        <f ca="1">VLOOKUP(Table4[[#This Row],[Employee ID]],Tbl_Employee_Details[],16,FALSE)</f>
        <v>36.55833333333333</v>
      </c>
      <c r="F228" t="str">
        <f>VLOOKUP(Table4[[#This Row],[Employee ID]],Tbl_Employee_Details[],18,FALSE)</f>
        <v>Mumbai</v>
      </c>
      <c r="G228" t="str">
        <f>VLOOKUP(Table4[[#This Row],[Employee ID]],Tbl_Emp_Onboarding[],8,FALSE)</f>
        <v>NA</v>
      </c>
    </row>
    <row r="229" spans="1:7" x14ac:dyDescent="0.3">
      <c r="A229" s="17">
        <v>102281</v>
      </c>
      <c r="B229" t="str">
        <f>VLOOKUP(Table4[[#This Row],[Employee ID]],Tbl_Employee_Details[],4,0)</f>
        <v>Female</v>
      </c>
      <c r="C229" t="str">
        <f>VLOOKUP(Table4[[#This Row],[Employee ID]],Tbl_Employee_Details[],7,)</f>
        <v>Poland</v>
      </c>
      <c r="D229" t="str">
        <f>VLOOKUP(Table4[[#This Row],[Employee ID]],Tbl_Employee_Details[],17,FALSE)</f>
        <v>Sales</v>
      </c>
      <c r="E229" s="6">
        <f ca="1">VLOOKUP(Table4[[#This Row],[Employee ID]],Tbl_Employee_Details[],16,FALSE)</f>
        <v>19.722222222222221</v>
      </c>
      <c r="F229" t="str">
        <f>VLOOKUP(Table4[[#This Row],[Employee ID]],Tbl_Employee_Details[],18,FALSE)</f>
        <v>Paris</v>
      </c>
      <c r="G229" t="str">
        <f>VLOOKUP(Table4[[#This Row],[Employee ID]],Tbl_Emp_Onboarding[],8,FALSE)</f>
        <v>NA</v>
      </c>
    </row>
    <row r="230" spans="1:7" x14ac:dyDescent="0.3">
      <c r="A230" s="17">
        <v>104701</v>
      </c>
      <c r="B230" t="str">
        <f>VLOOKUP(Table4[[#This Row],[Employee ID]],Tbl_Employee_Details[],4,0)</f>
        <v>Female</v>
      </c>
      <c r="C230" t="str">
        <f>VLOOKUP(Table4[[#This Row],[Employee ID]],Tbl_Employee_Details[],7,)</f>
        <v>Poland</v>
      </c>
      <c r="D230" t="str">
        <f>VLOOKUP(Table4[[#This Row],[Employee ID]],Tbl_Employee_Details[],17,FALSE)</f>
        <v>IT &amp; Admin</v>
      </c>
      <c r="E230" s="6">
        <f ca="1">VLOOKUP(Table4[[#This Row],[Employee ID]],Tbl_Employee_Details[],16,FALSE)</f>
        <v>42.5</v>
      </c>
      <c r="F230" t="str">
        <f>VLOOKUP(Table4[[#This Row],[Employee ID]],Tbl_Employee_Details[],18,FALSE)</f>
        <v>Mumbai</v>
      </c>
      <c r="G230" t="str">
        <f>VLOOKUP(Table4[[#This Row],[Employee ID]],Tbl_Emp_Onboarding[],8,FALSE)</f>
        <v>PHD</v>
      </c>
    </row>
    <row r="231" spans="1:7" x14ac:dyDescent="0.3">
      <c r="A231" s="17">
        <v>105968</v>
      </c>
      <c r="B231" t="str">
        <f>VLOOKUP(Table4[[#This Row],[Employee ID]],Tbl_Employee_Details[],4,0)</f>
        <v>Female</v>
      </c>
      <c r="C231" t="str">
        <f>VLOOKUP(Table4[[#This Row],[Employee ID]],Tbl_Employee_Details[],7,)</f>
        <v>France</v>
      </c>
      <c r="D231" t="str">
        <f>VLOOKUP(Table4[[#This Row],[Employee ID]],Tbl_Employee_Details[],17,FALSE)</f>
        <v>Sales</v>
      </c>
      <c r="E231" s="6">
        <f ca="1">VLOOKUP(Table4[[#This Row],[Employee ID]],Tbl_Employee_Details[],16,FALSE)</f>
        <v>26.975000000000001</v>
      </c>
      <c r="F231" t="str">
        <f>VLOOKUP(Table4[[#This Row],[Employee ID]],Tbl_Employee_Details[],18,FALSE)</f>
        <v>Bangalore</v>
      </c>
      <c r="G231" t="str">
        <f>VLOOKUP(Table4[[#This Row],[Employee ID]],Tbl_Emp_Onboarding[],8,FALSE)</f>
        <v>Graduation/Bachelors</v>
      </c>
    </row>
    <row r="232" spans="1:7" x14ac:dyDescent="0.3">
      <c r="A232" s="17">
        <v>106662</v>
      </c>
      <c r="B232" t="str">
        <f>VLOOKUP(Table4[[#This Row],[Employee ID]],Tbl_Employee_Details[],4,0)</f>
        <v>Male</v>
      </c>
      <c r="C232" t="str">
        <f>VLOOKUP(Table4[[#This Row],[Employee ID]],Tbl_Employee_Details[],7,)</f>
        <v>China</v>
      </c>
      <c r="D232" t="str">
        <f>VLOOKUP(Table4[[#This Row],[Employee ID]],Tbl_Employee_Details[],17,FALSE)</f>
        <v>Sales</v>
      </c>
      <c r="E232" s="6">
        <f ca="1">VLOOKUP(Table4[[#This Row],[Employee ID]],Tbl_Employee_Details[],16,FALSE)</f>
        <v>38.783333333333331</v>
      </c>
      <c r="F232" t="str">
        <f>VLOOKUP(Table4[[#This Row],[Employee ID]],Tbl_Employee_Details[],18,FALSE)</f>
        <v>Paris</v>
      </c>
      <c r="G232" t="str">
        <f>VLOOKUP(Table4[[#This Row],[Employee ID]],Tbl_Emp_Onboarding[],8,FALSE)</f>
        <v>Undergrad</v>
      </c>
    </row>
    <row r="233" spans="1:7" x14ac:dyDescent="0.3">
      <c r="A233" s="17">
        <v>105219</v>
      </c>
      <c r="B233" t="str">
        <f>VLOOKUP(Table4[[#This Row],[Employee ID]],Tbl_Employee_Details[],4,0)</f>
        <v>Male</v>
      </c>
      <c r="C233" t="str">
        <f>VLOOKUP(Table4[[#This Row],[Employee ID]],Tbl_Employee_Details[],7,)</f>
        <v>Kosovo</v>
      </c>
      <c r="D233" t="str">
        <f>VLOOKUP(Table4[[#This Row],[Employee ID]],Tbl_Employee_Details[],17,FALSE)</f>
        <v>Sales</v>
      </c>
      <c r="E233" s="6">
        <f ca="1">VLOOKUP(Table4[[#This Row],[Employee ID]],Tbl_Employee_Details[],16,FALSE)</f>
        <v>38.913888888888891</v>
      </c>
      <c r="F233" t="str">
        <f>VLOOKUP(Table4[[#This Row],[Employee ID]],Tbl_Employee_Details[],18,FALSE)</f>
        <v>New York</v>
      </c>
      <c r="G233" t="str">
        <f>VLOOKUP(Table4[[#This Row],[Employee ID]],Tbl_Emp_Onboarding[],8,FALSE)</f>
        <v>NA</v>
      </c>
    </row>
    <row r="234" spans="1:7" x14ac:dyDescent="0.3">
      <c r="A234" s="17">
        <v>107855</v>
      </c>
      <c r="B234" t="str">
        <f>VLOOKUP(Table4[[#This Row],[Employee ID]],Tbl_Employee_Details[],4,0)</f>
        <v>Male</v>
      </c>
      <c r="C234" t="str">
        <f>VLOOKUP(Table4[[#This Row],[Employee ID]],Tbl_Employee_Details[],7,)</f>
        <v>Russia</v>
      </c>
      <c r="D234" t="str">
        <f>VLOOKUP(Table4[[#This Row],[Employee ID]],Tbl_Employee_Details[],17,FALSE)</f>
        <v>Operational</v>
      </c>
      <c r="E234" s="6">
        <f ca="1">VLOOKUP(Table4[[#This Row],[Employee ID]],Tbl_Employee_Details[],16,FALSE)</f>
        <v>33.511111111111113</v>
      </c>
      <c r="F234" t="str">
        <f>VLOOKUP(Table4[[#This Row],[Employee ID]],Tbl_Employee_Details[],18,FALSE)</f>
        <v>California</v>
      </c>
      <c r="G234" t="str">
        <f>VLOOKUP(Table4[[#This Row],[Employee ID]],Tbl_Emp_Onboarding[],8,FALSE)</f>
        <v>Post Graduation/Masters</v>
      </c>
    </row>
    <row r="235" spans="1:7" x14ac:dyDescent="0.3">
      <c r="A235" s="17">
        <v>102598</v>
      </c>
      <c r="B235" t="str">
        <f>VLOOKUP(Table4[[#This Row],[Employee ID]],Tbl_Employee_Details[],4,0)</f>
        <v>Male</v>
      </c>
      <c r="C235" t="str">
        <f>VLOOKUP(Table4[[#This Row],[Employee ID]],Tbl_Employee_Details[],7,)</f>
        <v>Poland</v>
      </c>
      <c r="D235" t="str">
        <f>VLOOKUP(Table4[[#This Row],[Employee ID]],Tbl_Employee_Details[],17,FALSE)</f>
        <v>Sales</v>
      </c>
      <c r="E235" s="6">
        <f ca="1">VLOOKUP(Table4[[#This Row],[Employee ID]],Tbl_Employee_Details[],16,FALSE)</f>
        <v>44.19166666666667</v>
      </c>
      <c r="F235" t="str">
        <f>VLOOKUP(Table4[[#This Row],[Employee ID]],Tbl_Employee_Details[],18,FALSE)</f>
        <v>Toulouse</v>
      </c>
      <c r="G235" t="str">
        <f>VLOOKUP(Table4[[#This Row],[Employee ID]],Tbl_Emp_Onboarding[],8,FALSE)</f>
        <v>Graduation/Bachelors</v>
      </c>
    </row>
    <row r="236" spans="1:7" x14ac:dyDescent="0.3">
      <c r="A236" s="17">
        <v>103568</v>
      </c>
      <c r="B236" t="str">
        <f>VLOOKUP(Table4[[#This Row],[Employee ID]],Tbl_Employee_Details[],4,0)</f>
        <v>Male</v>
      </c>
      <c r="C236" t="str">
        <f>VLOOKUP(Table4[[#This Row],[Employee ID]],Tbl_Employee_Details[],7,)</f>
        <v>France</v>
      </c>
      <c r="D236" t="str">
        <f>VLOOKUP(Table4[[#This Row],[Employee ID]],Tbl_Employee_Details[],17,FALSE)</f>
        <v>Sales</v>
      </c>
      <c r="E236" s="6">
        <f ca="1">VLOOKUP(Table4[[#This Row],[Employee ID]],Tbl_Employee_Details[],16,FALSE)</f>
        <v>22.875</v>
      </c>
      <c r="F236" t="str">
        <f>VLOOKUP(Table4[[#This Row],[Employee ID]],Tbl_Employee_Details[],18,FALSE)</f>
        <v>California</v>
      </c>
      <c r="G236" t="str">
        <f>VLOOKUP(Table4[[#This Row],[Employee ID]],Tbl_Emp_Onboarding[],8,FALSE)</f>
        <v>Graduation/Bachelors</v>
      </c>
    </row>
    <row r="237" spans="1:7" x14ac:dyDescent="0.3">
      <c r="A237" s="17">
        <v>103100</v>
      </c>
      <c r="B237" t="str">
        <f>VLOOKUP(Table4[[#This Row],[Employee ID]],Tbl_Employee_Details[],4,0)</f>
        <v>Male</v>
      </c>
      <c r="C237" t="str">
        <f>VLOOKUP(Table4[[#This Row],[Employee ID]],Tbl_Employee_Details[],7,)</f>
        <v>Indonesia</v>
      </c>
      <c r="D237" t="str">
        <f>VLOOKUP(Table4[[#This Row],[Employee ID]],Tbl_Employee_Details[],17,FALSE)</f>
        <v>Quality Assurance</v>
      </c>
      <c r="E237" s="6">
        <f ca="1">VLOOKUP(Table4[[#This Row],[Employee ID]],Tbl_Employee_Details[],16,FALSE)</f>
        <v>40.091666666666669</v>
      </c>
      <c r="F237" t="str">
        <f>VLOOKUP(Table4[[#This Row],[Employee ID]],Tbl_Employee_Details[],18,FALSE)</f>
        <v>London</v>
      </c>
      <c r="G237" t="str">
        <f>VLOOKUP(Table4[[#This Row],[Employee ID]],Tbl_Emp_Onboarding[],8,FALSE)</f>
        <v>Post Graduation/Masters</v>
      </c>
    </row>
    <row r="238" spans="1:7" x14ac:dyDescent="0.3">
      <c r="A238" s="17">
        <v>107551</v>
      </c>
      <c r="B238" t="str">
        <f>VLOOKUP(Table4[[#This Row],[Employee ID]],Tbl_Employee_Details[],4,0)</f>
        <v>Female</v>
      </c>
      <c r="C238" t="str">
        <f>VLOOKUP(Table4[[#This Row],[Employee ID]],Tbl_Employee_Details[],7,)</f>
        <v>Dominican Republic</v>
      </c>
      <c r="D238" t="str">
        <f>VLOOKUP(Table4[[#This Row],[Employee ID]],Tbl_Employee_Details[],17,FALSE)</f>
        <v>Sales</v>
      </c>
      <c r="E238" s="6">
        <f ca="1">VLOOKUP(Table4[[#This Row],[Employee ID]],Tbl_Employee_Details[],16,FALSE)</f>
        <v>33.844444444444441</v>
      </c>
      <c r="F238" t="str">
        <f>VLOOKUP(Table4[[#This Row],[Employee ID]],Tbl_Employee_Details[],18,FALSE)</f>
        <v>Bangalore</v>
      </c>
      <c r="G238" t="str">
        <f>VLOOKUP(Table4[[#This Row],[Employee ID]],Tbl_Emp_Onboarding[],8,FALSE)</f>
        <v>NA</v>
      </c>
    </row>
    <row r="239" spans="1:7" x14ac:dyDescent="0.3">
      <c r="A239" s="17">
        <v>103871</v>
      </c>
      <c r="B239" t="str">
        <f>VLOOKUP(Table4[[#This Row],[Employee ID]],Tbl_Employee_Details[],4,0)</f>
        <v>Male</v>
      </c>
      <c r="C239" t="str">
        <f>VLOOKUP(Table4[[#This Row],[Employee ID]],Tbl_Employee_Details[],7,)</f>
        <v>India</v>
      </c>
      <c r="D239" t="str">
        <f>VLOOKUP(Table4[[#This Row],[Employee ID]],Tbl_Employee_Details[],17,FALSE)</f>
        <v>Quality Assurance</v>
      </c>
      <c r="E239" s="6">
        <f ca="1">VLOOKUP(Table4[[#This Row],[Employee ID]],Tbl_Employee_Details[],16,FALSE)</f>
        <v>37.024999999999999</v>
      </c>
      <c r="F239" t="str">
        <f>VLOOKUP(Table4[[#This Row],[Employee ID]],Tbl_Employee_Details[],18,FALSE)</f>
        <v>California</v>
      </c>
      <c r="G239" t="str">
        <f>VLOOKUP(Table4[[#This Row],[Employee ID]],Tbl_Emp_Onboarding[],8,FALSE)</f>
        <v>PHD</v>
      </c>
    </row>
    <row r="240" spans="1:7" x14ac:dyDescent="0.3">
      <c r="A240" s="17">
        <v>106672</v>
      </c>
      <c r="B240" t="str">
        <f>VLOOKUP(Table4[[#This Row],[Employee ID]],Tbl_Employee_Details[],4,0)</f>
        <v>Female</v>
      </c>
      <c r="C240" t="str">
        <f>VLOOKUP(Table4[[#This Row],[Employee ID]],Tbl_Employee_Details[],7,)</f>
        <v>India</v>
      </c>
      <c r="D240" t="str">
        <f>VLOOKUP(Table4[[#This Row],[Employee ID]],Tbl_Employee_Details[],17,FALSE)</f>
        <v>Sales</v>
      </c>
      <c r="E240" s="6">
        <f ca="1">VLOOKUP(Table4[[#This Row],[Employee ID]],Tbl_Employee_Details[],16,FALSE)</f>
        <v>36.258333333333333</v>
      </c>
      <c r="F240" t="str">
        <f>VLOOKUP(Table4[[#This Row],[Employee ID]],Tbl_Employee_Details[],18,FALSE)</f>
        <v>Paris</v>
      </c>
      <c r="G240" t="str">
        <f>VLOOKUP(Table4[[#This Row],[Employee ID]],Tbl_Emp_Onboarding[],8,FALSE)</f>
        <v>Undergrad</v>
      </c>
    </row>
    <row r="241" spans="1:7" x14ac:dyDescent="0.3">
      <c r="A241" s="17">
        <v>102074</v>
      </c>
      <c r="B241" t="str">
        <f>VLOOKUP(Table4[[#This Row],[Employee ID]],Tbl_Employee_Details[],4,0)</f>
        <v>Male</v>
      </c>
      <c r="C241" t="str">
        <f>VLOOKUP(Table4[[#This Row],[Employee ID]],Tbl_Employee_Details[],7,)</f>
        <v>Peru</v>
      </c>
      <c r="D241" t="str">
        <f>VLOOKUP(Table4[[#This Row],[Employee ID]],Tbl_Employee_Details[],17,FALSE)</f>
        <v>Organizational</v>
      </c>
      <c r="E241" s="6">
        <f ca="1">VLOOKUP(Table4[[#This Row],[Employee ID]],Tbl_Employee_Details[],16,FALSE)</f>
        <v>30.277777777777779</v>
      </c>
      <c r="F241" t="str">
        <f>VLOOKUP(Table4[[#This Row],[Employee ID]],Tbl_Employee_Details[],18,FALSE)</f>
        <v>Bangalore</v>
      </c>
      <c r="G241" t="str">
        <f>VLOOKUP(Table4[[#This Row],[Employee ID]],Tbl_Emp_Onboarding[],8,FALSE)</f>
        <v>Post Graduation/Masters</v>
      </c>
    </row>
    <row r="242" spans="1:7" x14ac:dyDescent="0.3">
      <c r="A242" s="17">
        <v>105574</v>
      </c>
      <c r="B242" t="str">
        <f>VLOOKUP(Table4[[#This Row],[Employee ID]],Tbl_Employee_Details[],4,0)</f>
        <v>Male</v>
      </c>
      <c r="C242" t="str">
        <f>VLOOKUP(Table4[[#This Row],[Employee ID]],Tbl_Employee_Details[],7,)</f>
        <v>Uganda</v>
      </c>
      <c r="D242" t="str">
        <f>VLOOKUP(Table4[[#This Row],[Employee ID]],Tbl_Employee_Details[],17,FALSE)</f>
        <v>Marketing</v>
      </c>
      <c r="E242" s="6">
        <f ca="1">VLOOKUP(Table4[[#This Row],[Employee ID]],Tbl_Employee_Details[],16,FALSE)</f>
        <v>34.80833333333333</v>
      </c>
      <c r="F242" t="str">
        <f>VLOOKUP(Table4[[#This Row],[Employee ID]],Tbl_Employee_Details[],18,FALSE)</f>
        <v>Toulouse</v>
      </c>
      <c r="G242" t="str">
        <f>VLOOKUP(Table4[[#This Row],[Employee ID]],Tbl_Emp_Onboarding[],8,FALSE)</f>
        <v>PHD</v>
      </c>
    </row>
    <row r="243" spans="1:7" x14ac:dyDescent="0.3">
      <c r="A243" s="17">
        <v>106500</v>
      </c>
      <c r="B243" t="str">
        <f>VLOOKUP(Table4[[#This Row],[Employee ID]],Tbl_Employee_Details[],4,0)</f>
        <v>Male</v>
      </c>
      <c r="C243" t="str">
        <f>VLOOKUP(Table4[[#This Row],[Employee ID]],Tbl_Employee_Details[],7,)</f>
        <v>Russia</v>
      </c>
      <c r="D243" t="str">
        <f>VLOOKUP(Table4[[#This Row],[Employee ID]],Tbl_Employee_Details[],17,FALSE)</f>
        <v>Sales</v>
      </c>
      <c r="E243" s="6">
        <f ca="1">VLOOKUP(Table4[[#This Row],[Employee ID]],Tbl_Employee_Details[],16,FALSE)</f>
        <v>32.93611111111111</v>
      </c>
      <c r="F243" t="str">
        <f>VLOOKUP(Table4[[#This Row],[Employee ID]],Tbl_Employee_Details[],18,FALSE)</f>
        <v>Dubai</v>
      </c>
      <c r="G243" t="str">
        <f>VLOOKUP(Table4[[#This Row],[Employee ID]],Tbl_Emp_Onboarding[],8,FALSE)</f>
        <v>Student</v>
      </c>
    </row>
    <row r="244" spans="1:7" x14ac:dyDescent="0.3">
      <c r="A244" s="17">
        <v>107555</v>
      </c>
      <c r="B244" t="str">
        <f>VLOOKUP(Table4[[#This Row],[Employee ID]],Tbl_Employee_Details[],4,0)</f>
        <v>Female</v>
      </c>
      <c r="C244" t="str">
        <f>VLOOKUP(Table4[[#This Row],[Employee ID]],Tbl_Employee_Details[],7,)</f>
        <v>Indonesia</v>
      </c>
      <c r="D244" t="str">
        <f>VLOOKUP(Table4[[#This Row],[Employee ID]],Tbl_Employee_Details[],17,FALSE)</f>
        <v>Sales</v>
      </c>
      <c r="E244" s="6">
        <f ca="1">VLOOKUP(Table4[[#This Row],[Employee ID]],Tbl_Employee_Details[],16,FALSE)</f>
        <v>25.111111111111111</v>
      </c>
      <c r="F244" t="str">
        <f>VLOOKUP(Table4[[#This Row],[Employee ID]],Tbl_Employee_Details[],18,FALSE)</f>
        <v>Paris</v>
      </c>
      <c r="G244" t="str">
        <f>VLOOKUP(Table4[[#This Row],[Employee ID]],Tbl_Emp_Onboarding[],8,FALSE)</f>
        <v>Undergrad</v>
      </c>
    </row>
    <row r="245" spans="1:7" x14ac:dyDescent="0.3">
      <c r="A245" s="17">
        <v>107054</v>
      </c>
      <c r="B245" t="str">
        <f>VLOOKUP(Table4[[#This Row],[Employee ID]],Tbl_Employee_Details[],4,0)</f>
        <v>Female</v>
      </c>
      <c r="C245" t="str">
        <f>VLOOKUP(Table4[[#This Row],[Employee ID]],Tbl_Employee_Details[],7,)</f>
        <v>India</v>
      </c>
      <c r="D245" t="str">
        <f>VLOOKUP(Table4[[#This Row],[Employee ID]],Tbl_Employee_Details[],17,FALSE)</f>
        <v>Sales</v>
      </c>
      <c r="E245" s="6">
        <f ca="1">VLOOKUP(Table4[[#This Row],[Employee ID]],Tbl_Employee_Details[],16,FALSE)</f>
        <v>28.572222222222223</v>
      </c>
      <c r="F245" t="str">
        <f>VLOOKUP(Table4[[#This Row],[Employee ID]],Tbl_Employee_Details[],18,FALSE)</f>
        <v>California</v>
      </c>
      <c r="G245" t="str">
        <f>VLOOKUP(Table4[[#This Row],[Employee ID]],Tbl_Emp_Onboarding[],8,FALSE)</f>
        <v>Student</v>
      </c>
    </row>
    <row r="246" spans="1:7" x14ac:dyDescent="0.3">
      <c r="A246" s="17">
        <v>104006</v>
      </c>
      <c r="B246" t="str">
        <f>VLOOKUP(Table4[[#This Row],[Employee ID]],Tbl_Employee_Details[],4,0)</f>
        <v>Female</v>
      </c>
      <c r="C246" t="str">
        <f>VLOOKUP(Table4[[#This Row],[Employee ID]],Tbl_Employee_Details[],7,)</f>
        <v>Canada</v>
      </c>
      <c r="D246" t="str">
        <f>VLOOKUP(Table4[[#This Row],[Employee ID]],Tbl_Employee_Details[],17,FALSE)</f>
        <v>Sales</v>
      </c>
      <c r="E246" s="6">
        <f ca="1">VLOOKUP(Table4[[#This Row],[Employee ID]],Tbl_Employee_Details[],16,FALSE)</f>
        <v>29.219444444444445</v>
      </c>
      <c r="F246" t="str">
        <f>VLOOKUP(Table4[[#This Row],[Employee ID]],Tbl_Employee_Details[],18,FALSE)</f>
        <v>Toulouse</v>
      </c>
      <c r="G246" t="str">
        <f>VLOOKUP(Table4[[#This Row],[Employee ID]],Tbl_Emp_Onboarding[],8,FALSE)</f>
        <v>Undergrad</v>
      </c>
    </row>
    <row r="247" spans="1:7" x14ac:dyDescent="0.3">
      <c r="A247" s="17">
        <v>106477</v>
      </c>
      <c r="B247" t="str">
        <f>VLOOKUP(Table4[[#This Row],[Employee ID]],Tbl_Employee_Details[],4,0)</f>
        <v>Female</v>
      </c>
      <c r="C247" t="str">
        <f>VLOOKUP(Table4[[#This Row],[Employee ID]],Tbl_Employee_Details[],7,)</f>
        <v>Sweden</v>
      </c>
      <c r="D247" t="str">
        <f>VLOOKUP(Table4[[#This Row],[Employee ID]],Tbl_Employee_Details[],17,FALSE)</f>
        <v>HR</v>
      </c>
      <c r="E247" s="6">
        <f ca="1">VLOOKUP(Table4[[#This Row],[Employee ID]],Tbl_Employee_Details[],16,FALSE)</f>
        <v>19.7</v>
      </c>
      <c r="F247" t="str">
        <f>VLOOKUP(Table4[[#This Row],[Employee ID]],Tbl_Employee_Details[],18,FALSE)</f>
        <v>California</v>
      </c>
      <c r="G247" t="str">
        <f>VLOOKUP(Table4[[#This Row],[Employee ID]],Tbl_Emp_Onboarding[],8,FALSE)</f>
        <v>PHD</v>
      </c>
    </row>
    <row r="248" spans="1:7" x14ac:dyDescent="0.3">
      <c r="A248" s="17">
        <v>106959</v>
      </c>
      <c r="B248" t="str">
        <f>VLOOKUP(Table4[[#This Row],[Employee ID]],Tbl_Employee_Details[],4,0)</f>
        <v>Female</v>
      </c>
      <c r="C248" t="str">
        <f>VLOOKUP(Table4[[#This Row],[Employee ID]],Tbl_Employee_Details[],7,)</f>
        <v>Indonesia</v>
      </c>
      <c r="D248" t="str">
        <f>VLOOKUP(Table4[[#This Row],[Employee ID]],Tbl_Employee_Details[],17,FALSE)</f>
        <v>Operational</v>
      </c>
      <c r="E248" s="6">
        <f ca="1">VLOOKUP(Table4[[#This Row],[Employee ID]],Tbl_Employee_Details[],16,FALSE)</f>
        <v>42.230555555555554</v>
      </c>
      <c r="F248" t="str">
        <f>VLOOKUP(Table4[[#This Row],[Employee ID]],Tbl_Employee_Details[],18,FALSE)</f>
        <v>California</v>
      </c>
      <c r="G248" t="str">
        <f>VLOOKUP(Table4[[#This Row],[Employee ID]],Tbl_Emp_Onboarding[],8,FALSE)</f>
        <v>Post Graduation/Masters</v>
      </c>
    </row>
    <row r="249" spans="1:7" x14ac:dyDescent="0.3">
      <c r="A249" s="17">
        <v>105802</v>
      </c>
      <c r="B249" t="str">
        <f>VLOOKUP(Table4[[#This Row],[Employee ID]],Tbl_Employee_Details[],4,0)</f>
        <v>Female</v>
      </c>
      <c r="C249" t="str">
        <f>VLOOKUP(Table4[[#This Row],[Employee ID]],Tbl_Employee_Details[],7,)</f>
        <v>Czech Republic</v>
      </c>
      <c r="D249" t="str">
        <f>VLOOKUP(Table4[[#This Row],[Employee ID]],Tbl_Employee_Details[],17,FALSE)</f>
        <v>Sales</v>
      </c>
      <c r="E249" s="6">
        <f ca="1">VLOOKUP(Table4[[#This Row],[Employee ID]],Tbl_Employee_Details[],16,FALSE)</f>
        <v>30.469444444444445</v>
      </c>
      <c r="F249" t="str">
        <f>VLOOKUP(Table4[[#This Row],[Employee ID]],Tbl_Employee_Details[],18,FALSE)</f>
        <v>Bangalore</v>
      </c>
      <c r="G249" t="str">
        <f>VLOOKUP(Table4[[#This Row],[Employee ID]],Tbl_Emp_Onboarding[],8,FALSE)</f>
        <v>Undergrad</v>
      </c>
    </row>
    <row r="250" spans="1:7" x14ac:dyDescent="0.3">
      <c r="A250" s="17">
        <v>106658</v>
      </c>
      <c r="B250" t="str">
        <f>VLOOKUP(Table4[[#This Row],[Employee ID]],Tbl_Employee_Details[],4,0)</f>
        <v>Female</v>
      </c>
      <c r="C250" t="str">
        <f>VLOOKUP(Table4[[#This Row],[Employee ID]],Tbl_Employee_Details[],7,)</f>
        <v>Colombia</v>
      </c>
      <c r="D250" t="str">
        <f>VLOOKUP(Table4[[#This Row],[Employee ID]],Tbl_Employee_Details[],17,FALSE)</f>
        <v>Sales</v>
      </c>
      <c r="E250" s="6">
        <f ca="1">VLOOKUP(Table4[[#This Row],[Employee ID]],Tbl_Employee_Details[],16,FALSE)</f>
        <v>32.866666666666667</v>
      </c>
      <c r="F250" t="str">
        <f>VLOOKUP(Table4[[#This Row],[Employee ID]],Tbl_Employee_Details[],18,FALSE)</f>
        <v>California</v>
      </c>
      <c r="G250" t="str">
        <f>VLOOKUP(Table4[[#This Row],[Employee ID]],Tbl_Emp_Onboarding[],8,FALSE)</f>
        <v>Student</v>
      </c>
    </row>
    <row r="251" spans="1:7" x14ac:dyDescent="0.3">
      <c r="A251" s="17">
        <v>106794</v>
      </c>
      <c r="B251" t="str">
        <f>VLOOKUP(Table4[[#This Row],[Employee ID]],Tbl_Employee_Details[],4,0)</f>
        <v>Male</v>
      </c>
      <c r="C251" t="str">
        <f>VLOOKUP(Table4[[#This Row],[Employee ID]],Tbl_Employee_Details[],7,)</f>
        <v>Armenia</v>
      </c>
      <c r="D251" t="str">
        <f>VLOOKUP(Table4[[#This Row],[Employee ID]],Tbl_Employee_Details[],17,FALSE)</f>
        <v>Sales</v>
      </c>
      <c r="E251" s="6">
        <f ca="1">VLOOKUP(Table4[[#This Row],[Employee ID]],Tbl_Employee_Details[],16,FALSE)</f>
        <v>25.75</v>
      </c>
      <c r="F251" t="str">
        <f>VLOOKUP(Table4[[#This Row],[Employee ID]],Tbl_Employee_Details[],18,FALSE)</f>
        <v>California</v>
      </c>
      <c r="G251" t="str">
        <f>VLOOKUP(Table4[[#This Row],[Employee ID]],Tbl_Emp_Onboarding[],8,FALSE)</f>
        <v>NA</v>
      </c>
    </row>
    <row r="252" spans="1:7" x14ac:dyDescent="0.3">
      <c r="A252" s="17">
        <v>105924</v>
      </c>
      <c r="B252" t="str">
        <f>VLOOKUP(Table4[[#This Row],[Employee ID]],Tbl_Employee_Details[],4,0)</f>
        <v>Female</v>
      </c>
      <c r="C252" t="str">
        <f>VLOOKUP(Table4[[#This Row],[Employee ID]],Tbl_Employee_Details[],7,)</f>
        <v>China</v>
      </c>
      <c r="D252" t="str">
        <f>VLOOKUP(Table4[[#This Row],[Employee ID]],Tbl_Employee_Details[],17,FALSE)</f>
        <v>Customer Service</v>
      </c>
      <c r="E252" s="6">
        <f ca="1">VLOOKUP(Table4[[#This Row],[Employee ID]],Tbl_Employee_Details[],16,FALSE)</f>
        <v>26.652777777777779</v>
      </c>
      <c r="F252" t="str">
        <f>VLOOKUP(Table4[[#This Row],[Employee ID]],Tbl_Employee_Details[],18,FALSE)</f>
        <v>California</v>
      </c>
      <c r="G252" t="str">
        <f>VLOOKUP(Table4[[#This Row],[Employee ID]],Tbl_Emp_Onboarding[],8,FALSE)</f>
        <v>PHD</v>
      </c>
    </row>
    <row r="253" spans="1:7" x14ac:dyDescent="0.3">
      <c r="A253" s="17">
        <v>103415</v>
      </c>
      <c r="B253" t="str">
        <f>VLOOKUP(Table4[[#This Row],[Employee ID]],Tbl_Employee_Details[],4,0)</f>
        <v>Female</v>
      </c>
      <c r="C253" t="str">
        <f>VLOOKUP(Table4[[#This Row],[Employee ID]],Tbl_Employee_Details[],7,)</f>
        <v>Portugal</v>
      </c>
      <c r="D253" t="str">
        <f>VLOOKUP(Table4[[#This Row],[Employee ID]],Tbl_Employee_Details[],17,FALSE)</f>
        <v>Sales</v>
      </c>
      <c r="E253" s="6">
        <f ca="1">VLOOKUP(Table4[[#This Row],[Employee ID]],Tbl_Employee_Details[],16,FALSE)</f>
        <v>42.580555555555556</v>
      </c>
      <c r="F253" t="str">
        <f>VLOOKUP(Table4[[#This Row],[Employee ID]],Tbl_Employee_Details[],18,FALSE)</f>
        <v>California</v>
      </c>
      <c r="G253" t="str">
        <f>VLOOKUP(Table4[[#This Row],[Employee ID]],Tbl_Emp_Onboarding[],8,FALSE)</f>
        <v>Undergrad</v>
      </c>
    </row>
    <row r="254" spans="1:7" x14ac:dyDescent="0.3">
      <c r="A254" s="17">
        <v>107103</v>
      </c>
      <c r="B254" t="str">
        <f>VLOOKUP(Table4[[#This Row],[Employee ID]],Tbl_Employee_Details[],4,0)</f>
        <v>Female</v>
      </c>
      <c r="C254" t="str">
        <f>VLOOKUP(Table4[[#This Row],[Employee ID]],Tbl_Employee_Details[],7,)</f>
        <v>Russia</v>
      </c>
      <c r="D254" t="str">
        <f>VLOOKUP(Table4[[#This Row],[Employee ID]],Tbl_Employee_Details[],17,FALSE)</f>
        <v>Organizational</v>
      </c>
      <c r="E254" s="6">
        <f ca="1">VLOOKUP(Table4[[#This Row],[Employee ID]],Tbl_Employee_Details[],16,FALSE)</f>
        <v>37.263888888888886</v>
      </c>
      <c r="F254" t="str">
        <f>VLOOKUP(Table4[[#This Row],[Employee ID]],Tbl_Employee_Details[],18,FALSE)</f>
        <v>London</v>
      </c>
      <c r="G254" t="str">
        <f>VLOOKUP(Table4[[#This Row],[Employee ID]],Tbl_Emp_Onboarding[],8,FALSE)</f>
        <v>Post Graduation/Masters</v>
      </c>
    </row>
    <row r="255" spans="1:7" x14ac:dyDescent="0.3">
      <c r="A255" s="17">
        <v>103311</v>
      </c>
      <c r="B255" t="str">
        <f>VLOOKUP(Table4[[#This Row],[Employee ID]],Tbl_Employee_Details[],4,0)</f>
        <v>Female</v>
      </c>
      <c r="C255" t="str">
        <f>VLOOKUP(Table4[[#This Row],[Employee ID]],Tbl_Employee_Details[],7,)</f>
        <v>Indonesia</v>
      </c>
      <c r="D255" t="str">
        <f>VLOOKUP(Table4[[#This Row],[Employee ID]],Tbl_Employee_Details[],17,FALSE)</f>
        <v>Sales</v>
      </c>
      <c r="E255" s="6">
        <f ca="1">VLOOKUP(Table4[[#This Row],[Employee ID]],Tbl_Employee_Details[],16,FALSE)</f>
        <v>42.05</v>
      </c>
      <c r="F255" t="str">
        <f>VLOOKUP(Table4[[#This Row],[Employee ID]],Tbl_Employee_Details[],18,FALSE)</f>
        <v>California</v>
      </c>
      <c r="G255" t="str">
        <f>VLOOKUP(Table4[[#This Row],[Employee ID]],Tbl_Emp_Onboarding[],8,FALSE)</f>
        <v>Student</v>
      </c>
    </row>
    <row r="256" spans="1:7" x14ac:dyDescent="0.3">
      <c r="A256" s="17">
        <v>104919</v>
      </c>
      <c r="B256" t="str">
        <f>VLOOKUP(Table4[[#This Row],[Employee ID]],Tbl_Employee_Details[],4,0)</f>
        <v>Male</v>
      </c>
      <c r="C256" t="str">
        <f>VLOOKUP(Table4[[#This Row],[Employee ID]],Tbl_Employee_Details[],7,)</f>
        <v>Indonesia</v>
      </c>
      <c r="D256" t="str">
        <f>VLOOKUP(Table4[[#This Row],[Employee ID]],Tbl_Employee_Details[],17,FALSE)</f>
        <v>Organizational</v>
      </c>
      <c r="E256" s="6">
        <f ca="1">VLOOKUP(Table4[[#This Row],[Employee ID]],Tbl_Employee_Details[],16,FALSE)</f>
        <v>25.56111111111111</v>
      </c>
      <c r="F256" t="str">
        <f>VLOOKUP(Table4[[#This Row],[Employee ID]],Tbl_Employee_Details[],18,FALSE)</f>
        <v>Dubai</v>
      </c>
      <c r="G256" t="str">
        <f>VLOOKUP(Table4[[#This Row],[Employee ID]],Tbl_Emp_Onboarding[],8,FALSE)</f>
        <v>Post Graduation/Masters</v>
      </c>
    </row>
    <row r="257" spans="1:7" x14ac:dyDescent="0.3">
      <c r="A257" s="17">
        <v>106199</v>
      </c>
      <c r="B257" t="str">
        <f>VLOOKUP(Table4[[#This Row],[Employee ID]],Tbl_Employee_Details[],4,0)</f>
        <v>Female</v>
      </c>
      <c r="C257" t="str">
        <f>VLOOKUP(Table4[[#This Row],[Employee ID]],Tbl_Employee_Details[],7,)</f>
        <v>China</v>
      </c>
      <c r="D257" t="str">
        <f>VLOOKUP(Table4[[#This Row],[Employee ID]],Tbl_Employee_Details[],17,FALSE)</f>
        <v>Organizational</v>
      </c>
      <c r="E257" s="6">
        <f ca="1">VLOOKUP(Table4[[#This Row],[Employee ID]],Tbl_Employee_Details[],16,FALSE)</f>
        <v>24.619444444444444</v>
      </c>
      <c r="F257" t="str">
        <f>VLOOKUP(Table4[[#This Row],[Employee ID]],Tbl_Employee_Details[],18,FALSE)</f>
        <v>Dubai</v>
      </c>
      <c r="G257" t="str">
        <f>VLOOKUP(Table4[[#This Row],[Employee ID]],Tbl_Emp_Onboarding[],8,FALSE)</f>
        <v>PHD</v>
      </c>
    </row>
    <row r="258" spans="1:7" x14ac:dyDescent="0.3">
      <c r="A258" s="17">
        <v>106277</v>
      </c>
      <c r="B258" t="str">
        <f>VLOOKUP(Table4[[#This Row],[Employee ID]],Tbl_Employee_Details[],4,0)</f>
        <v>Male</v>
      </c>
      <c r="C258" t="str">
        <f>VLOOKUP(Table4[[#This Row],[Employee ID]],Tbl_Employee_Details[],7,)</f>
        <v>Indonesia</v>
      </c>
      <c r="D258" t="str">
        <f>VLOOKUP(Table4[[#This Row],[Employee ID]],Tbl_Employee_Details[],17,FALSE)</f>
        <v>Sales</v>
      </c>
      <c r="E258" s="6">
        <f ca="1">VLOOKUP(Table4[[#This Row],[Employee ID]],Tbl_Employee_Details[],16,FALSE)</f>
        <v>31.630555555555556</v>
      </c>
      <c r="F258" t="str">
        <f>VLOOKUP(Table4[[#This Row],[Employee ID]],Tbl_Employee_Details[],18,FALSE)</f>
        <v>Paris</v>
      </c>
      <c r="G258" t="str">
        <f>VLOOKUP(Table4[[#This Row],[Employee ID]],Tbl_Emp_Onboarding[],8,FALSE)</f>
        <v>Graduation/Bachelors</v>
      </c>
    </row>
    <row r="259" spans="1:7" x14ac:dyDescent="0.3">
      <c r="A259" s="17">
        <v>107572</v>
      </c>
      <c r="B259" t="str">
        <f>VLOOKUP(Table4[[#This Row],[Employee ID]],Tbl_Employee_Details[],4,0)</f>
        <v>Female</v>
      </c>
      <c r="C259" t="str">
        <f>VLOOKUP(Table4[[#This Row],[Employee ID]],Tbl_Employee_Details[],7,)</f>
        <v>Netherlands</v>
      </c>
      <c r="D259" t="str">
        <f>VLOOKUP(Table4[[#This Row],[Employee ID]],Tbl_Employee_Details[],17,FALSE)</f>
        <v>Sales</v>
      </c>
      <c r="E259" s="6">
        <f ca="1">VLOOKUP(Table4[[#This Row],[Employee ID]],Tbl_Employee_Details[],16,FALSE)</f>
        <v>36.616666666666667</v>
      </c>
      <c r="F259" t="str">
        <f>VLOOKUP(Table4[[#This Row],[Employee ID]],Tbl_Employee_Details[],18,FALSE)</f>
        <v>Paris</v>
      </c>
      <c r="G259" t="str">
        <f>VLOOKUP(Table4[[#This Row],[Employee ID]],Tbl_Emp_Onboarding[],8,FALSE)</f>
        <v>Graduation/Bachelors</v>
      </c>
    </row>
    <row r="260" spans="1:7" x14ac:dyDescent="0.3">
      <c r="A260" s="17">
        <v>107403</v>
      </c>
      <c r="B260" t="str">
        <f>VLOOKUP(Table4[[#This Row],[Employee ID]],Tbl_Employee_Details[],4,0)</f>
        <v>Female</v>
      </c>
      <c r="C260" t="str">
        <f>VLOOKUP(Table4[[#This Row],[Employee ID]],Tbl_Employee_Details[],7,)</f>
        <v>Indonesia</v>
      </c>
      <c r="D260" t="str">
        <f>VLOOKUP(Table4[[#This Row],[Employee ID]],Tbl_Employee_Details[],17,FALSE)</f>
        <v>Sales</v>
      </c>
      <c r="E260" s="6">
        <f ca="1">VLOOKUP(Table4[[#This Row],[Employee ID]],Tbl_Employee_Details[],16,FALSE)</f>
        <v>42.12777777777778</v>
      </c>
      <c r="F260" t="str">
        <f>VLOOKUP(Table4[[#This Row],[Employee ID]],Tbl_Employee_Details[],18,FALSE)</f>
        <v>New York</v>
      </c>
      <c r="G260" t="str">
        <f>VLOOKUP(Table4[[#This Row],[Employee ID]],Tbl_Emp_Onboarding[],8,FALSE)</f>
        <v>Undergrad</v>
      </c>
    </row>
    <row r="261" spans="1:7" x14ac:dyDescent="0.3">
      <c r="A261" s="17">
        <v>107748</v>
      </c>
      <c r="B261" t="str">
        <f>VLOOKUP(Table4[[#This Row],[Employee ID]],Tbl_Employee_Details[],4,0)</f>
        <v>Female</v>
      </c>
      <c r="C261" t="str">
        <f>VLOOKUP(Table4[[#This Row],[Employee ID]],Tbl_Employee_Details[],7,)</f>
        <v>Colombia</v>
      </c>
      <c r="D261" t="str">
        <f>VLOOKUP(Table4[[#This Row],[Employee ID]],Tbl_Employee_Details[],17,FALSE)</f>
        <v>Sales</v>
      </c>
      <c r="E261" s="6">
        <f ca="1">VLOOKUP(Table4[[#This Row],[Employee ID]],Tbl_Employee_Details[],16,FALSE)</f>
        <v>22.572222222222223</v>
      </c>
      <c r="F261" t="str">
        <f>VLOOKUP(Table4[[#This Row],[Employee ID]],Tbl_Employee_Details[],18,FALSE)</f>
        <v>Mumbai</v>
      </c>
      <c r="G261" t="str">
        <f>VLOOKUP(Table4[[#This Row],[Employee ID]],Tbl_Emp_Onboarding[],8,FALSE)</f>
        <v>NA</v>
      </c>
    </row>
    <row r="262" spans="1:7" x14ac:dyDescent="0.3">
      <c r="A262" s="17">
        <v>106325</v>
      </c>
      <c r="B262" t="str">
        <f>VLOOKUP(Table4[[#This Row],[Employee ID]],Tbl_Employee_Details[],4,0)</f>
        <v>Female</v>
      </c>
      <c r="C262" t="str">
        <f>VLOOKUP(Table4[[#This Row],[Employee ID]],Tbl_Employee_Details[],7,)</f>
        <v>Tajikistan</v>
      </c>
      <c r="D262" t="str">
        <f>VLOOKUP(Table4[[#This Row],[Employee ID]],Tbl_Employee_Details[],17,FALSE)</f>
        <v>Sales</v>
      </c>
      <c r="E262" s="6">
        <f ca="1">VLOOKUP(Table4[[#This Row],[Employee ID]],Tbl_Employee_Details[],16,FALSE)</f>
        <v>31.227777777777778</v>
      </c>
      <c r="F262" t="str">
        <f>VLOOKUP(Table4[[#This Row],[Employee ID]],Tbl_Employee_Details[],18,FALSE)</f>
        <v>California</v>
      </c>
      <c r="G262" t="str">
        <f>VLOOKUP(Table4[[#This Row],[Employee ID]],Tbl_Emp_Onboarding[],8,FALSE)</f>
        <v>NA</v>
      </c>
    </row>
    <row r="263" spans="1:7" x14ac:dyDescent="0.3">
      <c r="A263" s="17">
        <v>104817</v>
      </c>
      <c r="B263" t="str">
        <f>VLOOKUP(Table4[[#This Row],[Employee ID]],Tbl_Employee_Details[],4,0)</f>
        <v>Male</v>
      </c>
      <c r="C263" t="str">
        <f>VLOOKUP(Table4[[#This Row],[Employee ID]],Tbl_Employee_Details[],7,)</f>
        <v>Japan</v>
      </c>
      <c r="D263" t="str">
        <f>VLOOKUP(Table4[[#This Row],[Employee ID]],Tbl_Employee_Details[],17,FALSE)</f>
        <v>Sales</v>
      </c>
      <c r="E263" s="6">
        <f ca="1">VLOOKUP(Table4[[#This Row],[Employee ID]],Tbl_Employee_Details[],16,FALSE)</f>
        <v>19.819444444444443</v>
      </c>
      <c r="F263" t="str">
        <f>VLOOKUP(Table4[[#This Row],[Employee ID]],Tbl_Employee_Details[],18,FALSE)</f>
        <v>Toulouse</v>
      </c>
      <c r="G263" t="str">
        <f>VLOOKUP(Table4[[#This Row],[Employee ID]],Tbl_Emp_Onboarding[],8,FALSE)</f>
        <v>Graduation/Bachelors</v>
      </c>
    </row>
    <row r="264" spans="1:7" x14ac:dyDescent="0.3">
      <c r="A264" s="17">
        <v>104804</v>
      </c>
      <c r="B264" t="str">
        <f>VLOOKUP(Table4[[#This Row],[Employee ID]],Tbl_Employee_Details[],4,0)</f>
        <v>Male</v>
      </c>
      <c r="C264" t="str">
        <f>VLOOKUP(Table4[[#This Row],[Employee ID]],Tbl_Employee_Details[],7,)</f>
        <v>France</v>
      </c>
      <c r="D264" t="str">
        <f>VLOOKUP(Table4[[#This Row],[Employee ID]],Tbl_Employee_Details[],17,FALSE)</f>
        <v>Sales</v>
      </c>
      <c r="E264" s="6">
        <f ca="1">VLOOKUP(Table4[[#This Row],[Employee ID]],Tbl_Employee_Details[],16,FALSE)</f>
        <v>20.258333333333333</v>
      </c>
      <c r="F264" t="str">
        <f>VLOOKUP(Table4[[#This Row],[Employee ID]],Tbl_Employee_Details[],18,FALSE)</f>
        <v>Paris</v>
      </c>
      <c r="G264" t="str">
        <f>VLOOKUP(Table4[[#This Row],[Employee ID]],Tbl_Emp_Onboarding[],8,FALSE)</f>
        <v>Undergrad</v>
      </c>
    </row>
    <row r="265" spans="1:7" x14ac:dyDescent="0.3">
      <c r="A265" s="17">
        <v>105796</v>
      </c>
      <c r="B265" t="str">
        <f>VLOOKUP(Table4[[#This Row],[Employee ID]],Tbl_Employee_Details[],4,0)</f>
        <v>Male</v>
      </c>
      <c r="C265" t="str">
        <f>VLOOKUP(Table4[[#This Row],[Employee ID]],Tbl_Employee_Details[],7,)</f>
        <v>Guinea</v>
      </c>
      <c r="D265" t="str">
        <f>VLOOKUP(Table4[[#This Row],[Employee ID]],Tbl_Employee_Details[],17,FALSE)</f>
        <v>Customer Service</v>
      </c>
      <c r="E265" s="6">
        <f ca="1">VLOOKUP(Table4[[#This Row],[Employee ID]],Tbl_Employee_Details[],16,FALSE)</f>
        <v>19.952777777777779</v>
      </c>
      <c r="F265" t="str">
        <f>VLOOKUP(Table4[[#This Row],[Employee ID]],Tbl_Employee_Details[],18,FALSE)</f>
        <v>Dubai</v>
      </c>
      <c r="G265" t="str">
        <f>VLOOKUP(Table4[[#This Row],[Employee ID]],Tbl_Emp_Onboarding[],8,FALSE)</f>
        <v>Post Graduation/Masters</v>
      </c>
    </row>
    <row r="266" spans="1:7" x14ac:dyDescent="0.3">
      <c r="A266" s="17">
        <v>106319</v>
      </c>
      <c r="B266" t="str">
        <f>VLOOKUP(Table4[[#This Row],[Employee ID]],Tbl_Employee_Details[],4,0)</f>
        <v>Female</v>
      </c>
      <c r="C266" t="str">
        <f>VLOOKUP(Table4[[#This Row],[Employee ID]],Tbl_Employee_Details[],7,)</f>
        <v>India</v>
      </c>
      <c r="D266" t="str">
        <f>VLOOKUP(Table4[[#This Row],[Employee ID]],Tbl_Employee_Details[],17,FALSE)</f>
        <v>Sales</v>
      </c>
      <c r="E266" s="6">
        <f ca="1">VLOOKUP(Table4[[#This Row],[Employee ID]],Tbl_Employee_Details[],16,FALSE)</f>
        <v>21.380555555555556</v>
      </c>
      <c r="F266" t="str">
        <f>VLOOKUP(Table4[[#This Row],[Employee ID]],Tbl_Employee_Details[],18,FALSE)</f>
        <v>Bangalore</v>
      </c>
      <c r="G266" t="str">
        <f>VLOOKUP(Table4[[#This Row],[Employee ID]],Tbl_Emp_Onboarding[],8,FALSE)</f>
        <v>Graduation/Bachelors</v>
      </c>
    </row>
    <row r="267" spans="1:7" x14ac:dyDescent="0.3">
      <c r="A267" s="17">
        <v>107125</v>
      </c>
      <c r="B267" t="str">
        <f>VLOOKUP(Table4[[#This Row],[Employee ID]],Tbl_Employee_Details[],4,0)</f>
        <v>Male</v>
      </c>
      <c r="C267" t="str">
        <f>VLOOKUP(Table4[[#This Row],[Employee ID]],Tbl_Employee_Details[],7,)</f>
        <v>South Africa</v>
      </c>
      <c r="D267" t="str">
        <f>VLOOKUP(Table4[[#This Row],[Employee ID]],Tbl_Employee_Details[],17,FALSE)</f>
        <v>Organizational</v>
      </c>
      <c r="E267" s="6">
        <f ca="1">VLOOKUP(Table4[[#This Row],[Employee ID]],Tbl_Employee_Details[],16,FALSE)</f>
        <v>44.758333333333333</v>
      </c>
      <c r="F267" t="str">
        <f>VLOOKUP(Table4[[#This Row],[Employee ID]],Tbl_Employee_Details[],18,FALSE)</f>
        <v>Toulouse</v>
      </c>
      <c r="G267" t="str">
        <f>VLOOKUP(Table4[[#This Row],[Employee ID]],Tbl_Emp_Onboarding[],8,FALSE)</f>
        <v>PHD</v>
      </c>
    </row>
    <row r="268" spans="1:7" x14ac:dyDescent="0.3">
      <c r="A268" s="17">
        <v>105444</v>
      </c>
      <c r="B268" t="str">
        <f>VLOOKUP(Table4[[#This Row],[Employee ID]],Tbl_Employee_Details[],4,0)</f>
        <v>Male</v>
      </c>
      <c r="C268" t="str">
        <f>VLOOKUP(Table4[[#This Row],[Employee ID]],Tbl_Employee_Details[],7,)</f>
        <v>Luxembourg</v>
      </c>
      <c r="D268" t="str">
        <f>VLOOKUP(Table4[[#This Row],[Employee ID]],Tbl_Employee_Details[],17,FALSE)</f>
        <v>Organizational</v>
      </c>
      <c r="E268" s="6">
        <f ca="1">VLOOKUP(Table4[[#This Row],[Employee ID]],Tbl_Employee_Details[],16,FALSE)</f>
        <v>21.705555555555556</v>
      </c>
      <c r="F268" t="str">
        <f>VLOOKUP(Table4[[#This Row],[Employee ID]],Tbl_Employee_Details[],18,FALSE)</f>
        <v>Paris</v>
      </c>
      <c r="G268" t="str">
        <f>VLOOKUP(Table4[[#This Row],[Employee ID]],Tbl_Emp_Onboarding[],8,FALSE)</f>
        <v>PHD</v>
      </c>
    </row>
    <row r="269" spans="1:7" x14ac:dyDescent="0.3">
      <c r="A269" s="17">
        <v>104656</v>
      </c>
      <c r="B269" t="str">
        <f>VLOOKUP(Table4[[#This Row],[Employee ID]],Tbl_Employee_Details[],4,0)</f>
        <v>Female</v>
      </c>
      <c r="C269" t="str">
        <f>VLOOKUP(Table4[[#This Row],[Employee ID]],Tbl_Employee_Details[],7,)</f>
        <v>Malaysia</v>
      </c>
      <c r="D269" t="str">
        <f>VLOOKUP(Table4[[#This Row],[Employee ID]],Tbl_Employee_Details[],17,FALSE)</f>
        <v>Sales</v>
      </c>
      <c r="E269" s="6">
        <f ca="1">VLOOKUP(Table4[[#This Row],[Employee ID]],Tbl_Employee_Details[],16,FALSE)</f>
        <v>29.941666666666666</v>
      </c>
      <c r="F269" t="str">
        <f>VLOOKUP(Table4[[#This Row],[Employee ID]],Tbl_Employee_Details[],18,FALSE)</f>
        <v>Bangalore</v>
      </c>
      <c r="G269" t="str">
        <f>VLOOKUP(Table4[[#This Row],[Employee ID]],Tbl_Emp_Onboarding[],8,FALSE)</f>
        <v>Student</v>
      </c>
    </row>
    <row r="270" spans="1:7" x14ac:dyDescent="0.3">
      <c r="A270" s="17">
        <v>102762</v>
      </c>
      <c r="B270" t="str">
        <f>VLOOKUP(Table4[[#This Row],[Employee ID]],Tbl_Employee_Details[],4,0)</f>
        <v>Female</v>
      </c>
      <c r="C270" t="str">
        <f>VLOOKUP(Table4[[#This Row],[Employee ID]],Tbl_Employee_Details[],7,)</f>
        <v>Indonesia</v>
      </c>
      <c r="D270" t="str">
        <f>VLOOKUP(Table4[[#This Row],[Employee ID]],Tbl_Employee_Details[],17,FALSE)</f>
        <v>Sales</v>
      </c>
      <c r="E270" s="6">
        <f ca="1">VLOOKUP(Table4[[#This Row],[Employee ID]],Tbl_Employee_Details[],16,FALSE)</f>
        <v>20.733333333333334</v>
      </c>
      <c r="F270" t="str">
        <f>VLOOKUP(Table4[[#This Row],[Employee ID]],Tbl_Employee_Details[],18,FALSE)</f>
        <v>London</v>
      </c>
      <c r="G270" t="str">
        <f>VLOOKUP(Table4[[#This Row],[Employee ID]],Tbl_Emp_Onboarding[],8,FALSE)</f>
        <v>Student</v>
      </c>
    </row>
    <row r="271" spans="1:7" x14ac:dyDescent="0.3">
      <c r="A271" s="17">
        <v>104646</v>
      </c>
      <c r="B271" t="str">
        <f>VLOOKUP(Table4[[#This Row],[Employee ID]],Tbl_Employee_Details[],4,0)</f>
        <v>Male</v>
      </c>
      <c r="C271" t="str">
        <f>VLOOKUP(Table4[[#This Row],[Employee ID]],Tbl_Employee_Details[],7,)</f>
        <v>China</v>
      </c>
      <c r="D271" t="str">
        <f>VLOOKUP(Table4[[#This Row],[Employee ID]],Tbl_Employee_Details[],17,FALSE)</f>
        <v>Sales</v>
      </c>
      <c r="E271" s="6">
        <f ca="1">VLOOKUP(Table4[[#This Row],[Employee ID]],Tbl_Employee_Details[],16,FALSE)</f>
        <v>32.613888888888887</v>
      </c>
      <c r="F271" t="str">
        <f>VLOOKUP(Table4[[#This Row],[Employee ID]],Tbl_Employee_Details[],18,FALSE)</f>
        <v>London</v>
      </c>
      <c r="G271" t="str">
        <f>VLOOKUP(Table4[[#This Row],[Employee ID]],Tbl_Emp_Onboarding[],8,FALSE)</f>
        <v>Undergrad</v>
      </c>
    </row>
    <row r="272" spans="1:7" x14ac:dyDescent="0.3">
      <c r="A272" s="17">
        <v>106075</v>
      </c>
      <c r="B272" t="str">
        <f>VLOOKUP(Table4[[#This Row],[Employee ID]],Tbl_Employee_Details[],4,0)</f>
        <v>Female</v>
      </c>
      <c r="C272" t="str">
        <f>VLOOKUP(Table4[[#This Row],[Employee ID]],Tbl_Employee_Details[],7,)</f>
        <v>Sweden</v>
      </c>
      <c r="D272" t="str">
        <f>VLOOKUP(Table4[[#This Row],[Employee ID]],Tbl_Employee_Details[],17,FALSE)</f>
        <v>Inventory</v>
      </c>
      <c r="E272" s="6">
        <f ca="1">VLOOKUP(Table4[[#This Row],[Employee ID]],Tbl_Employee_Details[],16,FALSE)</f>
        <v>32.841666666666669</v>
      </c>
      <c r="F272" t="str">
        <f>VLOOKUP(Table4[[#This Row],[Employee ID]],Tbl_Employee_Details[],18,FALSE)</f>
        <v>New York</v>
      </c>
      <c r="G272" t="str">
        <f>VLOOKUP(Table4[[#This Row],[Employee ID]],Tbl_Emp_Onboarding[],8,FALSE)</f>
        <v>Post Graduation/Masters</v>
      </c>
    </row>
    <row r="273" spans="1:7" x14ac:dyDescent="0.3">
      <c r="A273" s="17">
        <v>102060</v>
      </c>
      <c r="B273" t="str">
        <f>VLOOKUP(Table4[[#This Row],[Employee ID]],Tbl_Employee_Details[],4,0)</f>
        <v>Male</v>
      </c>
      <c r="C273" t="str">
        <f>VLOOKUP(Table4[[#This Row],[Employee ID]],Tbl_Employee_Details[],7,)</f>
        <v>Chile</v>
      </c>
      <c r="D273" t="str">
        <f>VLOOKUP(Table4[[#This Row],[Employee ID]],Tbl_Employee_Details[],17,FALSE)</f>
        <v>Sales</v>
      </c>
      <c r="E273" s="6">
        <f ca="1">VLOOKUP(Table4[[#This Row],[Employee ID]],Tbl_Employee_Details[],16,FALSE)</f>
        <v>21.222222222222221</v>
      </c>
      <c r="F273" t="str">
        <f>VLOOKUP(Table4[[#This Row],[Employee ID]],Tbl_Employee_Details[],18,FALSE)</f>
        <v>Dubai</v>
      </c>
      <c r="G273" t="str">
        <f>VLOOKUP(Table4[[#This Row],[Employee ID]],Tbl_Emp_Onboarding[],8,FALSE)</f>
        <v>Student</v>
      </c>
    </row>
    <row r="274" spans="1:7" x14ac:dyDescent="0.3">
      <c r="A274" s="17">
        <v>105819</v>
      </c>
      <c r="B274" t="str">
        <f>VLOOKUP(Table4[[#This Row],[Employee ID]],Tbl_Employee_Details[],4,0)</f>
        <v>Male</v>
      </c>
      <c r="C274" t="str">
        <f>VLOOKUP(Table4[[#This Row],[Employee ID]],Tbl_Employee_Details[],7,)</f>
        <v>United States</v>
      </c>
      <c r="D274" t="str">
        <f>VLOOKUP(Table4[[#This Row],[Employee ID]],Tbl_Employee_Details[],17,FALSE)</f>
        <v>Organizational</v>
      </c>
      <c r="E274" s="6">
        <f ca="1">VLOOKUP(Table4[[#This Row],[Employee ID]],Tbl_Employee_Details[],16,FALSE)</f>
        <v>41.3</v>
      </c>
      <c r="F274" t="str">
        <f>VLOOKUP(Table4[[#This Row],[Employee ID]],Tbl_Employee_Details[],18,FALSE)</f>
        <v>Toulouse</v>
      </c>
      <c r="G274" t="str">
        <f>VLOOKUP(Table4[[#This Row],[Employee ID]],Tbl_Emp_Onboarding[],8,FALSE)</f>
        <v>Post Graduation/Masters</v>
      </c>
    </row>
    <row r="275" spans="1:7" x14ac:dyDescent="0.3">
      <c r="A275" s="17">
        <v>105192</v>
      </c>
      <c r="B275" t="str">
        <f>VLOOKUP(Table4[[#This Row],[Employee ID]],Tbl_Employee_Details[],4,0)</f>
        <v>Male</v>
      </c>
      <c r="C275" t="str">
        <f>VLOOKUP(Table4[[#This Row],[Employee ID]],Tbl_Employee_Details[],7,)</f>
        <v>Norway</v>
      </c>
      <c r="D275" t="str">
        <f>VLOOKUP(Table4[[#This Row],[Employee ID]],Tbl_Employee_Details[],17,FALSE)</f>
        <v>Sales</v>
      </c>
      <c r="E275" s="6">
        <f ca="1">VLOOKUP(Table4[[#This Row],[Employee ID]],Tbl_Employee_Details[],16,FALSE)</f>
        <v>21.236111111111111</v>
      </c>
      <c r="F275" t="str">
        <f>VLOOKUP(Table4[[#This Row],[Employee ID]],Tbl_Employee_Details[],18,FALSE)</f>
        <v>Mumbai</v>
      </c>
      <c r="G275" t="str">
        <f>VLOOKUP(Table4[[#This Row],[Employee ID]],Tbl_Emp_Onboarding[],8,FALSE)</f>
        <v>Graduation/Bachelors</v>
      </c>
    </row>
    <row r="276" spans="1:7" x14ac:dyDescent="0.3">
      <c r="A276" s="17">
        <v>103221</v>
      </c>
      <c r="B276" t="str">
        <f>VLOOKUP(Table4[[#This Row],[Employee ID]],Tbl_Employee_Details[],4,0)</f>
        <v>Male</v>
      </c>
      <c r="C276" t="str">
        <f>VLOOKUP(Table4[[#This Row],[Employee ID]],Tbl_Employee_Details[],7,)</f>
        <v>North Korea</v>
      </c>
      <c r="D276" t="str">
        <f>VLOOKUP(Table4[[#This Row],[Employee ID]],Tbl_Employee_Details[],17,FALSE)</f>
        <v>Sales</v>
      </c>
      <c r="E276" s="6">
        <f ca="1">VLOOKUP(Table4[[#This Row],[Employee ID]],Tbl_Employee_Details[],16,FALSE)</f>
        <v>43.802777777777777</v>
      </c>
      <c r="F276" t="str">
        <f>VLOOKUP(Table4[[#This Row],[Employee ID]],Tbl_Employee_Details[],18,FALSE)</f>
        <v>California</v>
      </c>
      <c r="G276" t="str">
        <f>VLOOKUP(Table4[[#This Row],[Employee ID]],Tbl_Emp_Onboarding[],8,FALSE)</f>
        <v>Graduation/Bachelors</v>
      </c>
    </row>
    <row r="277" spans="1:7" x14ac:dyDescent="0.3">
      <c r="A277" s="17">
        <v>104408</v>
      </c>
      <c r="B277" t="str">
        <f>VLOOKUP(Table4[[#This Row],[Employee ID]],Tbl_Employee_Details[],4,0)</f>
        <v>Male</v>
      </c>
      <c r="C277" t="str">
        <f>VLOOKUP(Table4[[#This Row],[Employee ID]],Tbl_Employee_Details[],7,)</f>
        <v>Bulgaria</v>
      </c>
      <c r="D277" t="str">
        <f>VLOOKUP(Table4[[#This Row],[Employee ID]],Tbl_Employee_Details[],17,FALSE)</f>
        <v>Customer Service</v>
      </c>
      <c r="E277" s="6">
        <f ca="1">VLOOKUP(Table4[[#This Row],[Employee ID]],Tbl_Employee_Details[],16,FALSE)</f>
        <v>44.924999999999997</v>
      </c>
      <c r="F277" t="str">
        <f>VLOOKUP(Table4[[#This Row],[Employee ID]],Tbl_Employee_Details[],18,FALSE)</f>
        <v>London</v>
      </c>
      <c r="G277" t="str">
        <f>VLOOKUP(Table4[[#This Row],[Employee ID]],Tbl_Emp_Onboarding[],8,FALSE)</f>
        <v>NA</v>
      </c>
    </row>
    <row r="278" spans="1:7" x14ac:dyDescent="0.3">
      <c r="A278" s="17">
        <v>102211</v>
      </c>
      <c r="B278" t="str">
        <f>VLOOKUP(Table4[[#This Row],[Employee ID]],Tbl_Employee_Details[],4,0)</f>
        <v>Female</v>
      </c>
      <c r="C278" t="str">
        <f>VLOOKUP(Table4[[#This Row],[Employee ID]],Tbl_Employee_Details[],7,)</f>
        <v>Estonia</v>
      </c>
      <c r="D278" t="str">
        <f>VLOOKUP(Table4[[#This Row],[Employee ID]],Tbl_Employee_Details[],17,FALSE)</f>
        <v>Quality Assurance</v>
      </c>
      <c r="E278" s="6">
        <f ca="1">VLOOKUP(Table4[[#This Row],[Employee ID]],Tbl_Employee_Details[],16,FALSE)</f>
        <v>26.027777777777779</v>
      </c>
      <c r="F278" t="str">
        <f>VLOOKUP(Table4[[#This Row],[Employee ID]],Tbl_Employee_Details[],18,FALSE)</f>
        <v>Mumbai</v>
      </c>
      <c r="G278" t="str">
        <f>VLOOKUP(Table4[[#This Row],[Employee ID]],Tbl_Emp_Onboarding[],8,FALSE)</f>
        <v>PHD</v>
      </c>
    </row>
    <row r="279" spans="1:7" x14ac:dyDescent="0.3">
      <c r="A279" s="17">
        <v>103104</v>
      </c>
      <c r="B279" t="str">
        <f>VLOOKUP(Table4[[#This Row],[Employee ID]],Tbl_Employee_Details[],4,0)</f>
        <v>Female</v>
      </c>
      <c r="C279" t="str">
        <f>VLOOKUP(Table4[[#This Row],[Employee ID]],Tbl_Employee_Details[],7,)</f>
        <v>Indonesia</v>
      </c>
      <c r="D279" t="str">
        <f>VLOOKUP(Table4[[#This Row],[Employee ID]],Tbl_Employee_Details[],17,FALSE)</f>
        <v>Organizational</v>
      </c>
      <c r="E279" s="6">
        <f ca="1">VLOOKUP(Table4[[#This Row],[Employee ID]],Tbl_Employee_Details[],16,FALSE)</f>
        <v>44.594444444444441</v>
      </c>
      <c r="F279" t="str">
        <f>VLOOKUP(Table4[[#This Row],[Employee ID]],Tbl_Employee_Details[],18,FALSE)</f>
        <v>New York</v>
      </c>
      <c r="G279" t="str">
        <f>VLOOKUP(Table4[[#This Row],[Employee ID]],Tbl_Emp_Onboarding[],8,FALSE)</f>
        <v>PHD</v>
      </c>
    </row>
    <row r="280" spans="1:7" x14ac:dyDescent="0.3">
      <c r="A280" s="17">
        <v>102990</v>
      </c>
      <c r="B280" t="str">
        <f>VLOOKUP(Table4[[#This Row],[Employee ID]],Tbl_Employee_Details[],4,0)</f>
        <v>Male</v>
      </c>
      <c r="C280" t="str">
        <f>VLOOKUP(Table4[[#This Row],[Employee ID]],Tbl_Employee_Details[],7,)</f>
        <v>China</v>
      </c>
      <c r="D280" t="str">
        <f>VLOOKUP(Table4[[#This Row],[Employee ID]],Tbl_Employee_Details[],17,FALSE)</f>
        <v>Customer Service</v>
      </c>
      <c r="E280" s="6">
        <f ca="1">VLOOKUP(Table4[[#This Row],[Employee ID]],Tbl_Employee_Details[],16,FALSE)</f>
        <v>20.361111111111111</v>
      </c>
      <c r="F280" t="str">
        <f>VLOOKUP(Table4[[#This Row],[Employee ID]],Tbl_Employee_Details[],18,FALSE)</f>
        <v>Paris</v>
      </c>
      <c r="G280" t="str">
        <f>VLOOKUP(Table4[[#This Row],[Employee ID]],Tbl_Emp_Onboarding[],8,FALSE)</f>
        <v>Undergrad</v>
      </c>
    </row>
    <row r="281" spans="1:7" x14ac:dyDescent="0.3">
      <c r="A281" s="17">
        <v>105216</v>
      </c>
      <c r="B281" t="str">
        <f>VLOOKUP(Table4[[#This Row],[Employee ID]],Tbl_Employee_Details[],4,0)</f>
        <v>Male</v>
      </c>
      <c r="C281" t="str">
        <f>VLOOKUP(Table4[[#This Row],[Employee ID]],Tbl_Employee_Details[],7,)</f>
        <v>Brazil</v>
      </c>
      <c r="D281" t="str">
        <f>VLOOKUP(Table4[[#This Row],[Employee ID]],Tbl_Employee_Details[],17,FALSE)</f>
        <v>Customer Service</v>
      </c>
      <c r="E281" s="6">
        <f ca="1">VLOOKUP(Table4[[#This Row],[Employee ID]],Tbl_Employee_Details[],16,FALSE)</f>
        <v>33.25</v>
      </c>
      <c r="F281" t="str">
        <f>VLOOKUP(Table4[[#This Row],[Employee ID]],Tbl_Employee_Details[],18,FALSE)</f>
        <v>Bangalore</v>
      </c>
      <c r="G281" t="str">
        <f>VLOOKUP(Table4[[#This Row],[Employee ID]],Tbl_Emp_Onboarding[],8,FALSE)</f>
        <v>NA</v>
      </c>
    </row>
    <row r="282" spans="1:7" x14ac:dyDescent="0.3">
      <c r="A282" s="17">
        <v>103919</v>
      </c>
      <c r="B282" t="str">
        <f>VLOOKUP(Table4[[#This Row],[Employee ID]],Tbl_Employee_Details[],4,0)</f>
        <v>Male</v>
      </c>
      <c r="C282" t="str">
        <f>VLOOKUP(Table4[[#This Row],[Employee ID]],Tbl_Employee_Details[],7,)</f>
        <v>India</v>
      </c>
      <c r="D282" t="str">
        <f>VLOOKUP(Table4[[#This Row],[Employee ID]],Tbl_Employee_Details[],17,FALSE)</f>
        <v>Customer Service</v>
      </c>
      <c r="E282" s="6">
        <f ca="1">VLOOKUP(Table4[[#This Row],[Employee ID]],Tbl_Employee_Details[],16,FALSE)</f>
        <v>33.81666666666667</v>
      </c>
      <c r="F282" t="str">
        <f>VLOOKUP(Table4[[#This Row],[Employee ID]],Tbl_Employee_Details[],18,FALSE)</f>
        <v>London</v>
      </c>
      <c r="G282" t="str">
        <f>VLOOKUP(Table4[[#This Row],[Employee ID]],Tbl_Emp_Onboarding[],8,FALSE)</f>
        <v>Student</v>
      </c>
    </row>
    <row r="283" spans="1:7" x14ac:dyDescent="0.3">
      <c r="A283" s="17">
        <v>106324</v>
      </c>
      <c r="B283" t="str">
        <f>VLOOKUP(Table4[[#This Row],[Employee ID]],Tbl_Employee_Details[],4,0)</f>
        <v>Male</v>
      </c>
      <c r="C283" t="str">
        <f>VLOOKUP(Table4[[#This Row],[Employee ID]],Tbl_Employee_Details[],7,)</f>
        <v>India</v>
      </c>
      <c r="D283" t="str">
        <f>VLOOKUP(Table4[[#This Row],[Employee ID]],Tbl_Employee_Details[],17,FALSE)</f>
        <v>Quality Assurance</v>
      </c>
      <c r="E283" s="6">
        <f ca="1">VLOOKUP(Table4[[#This Row],[Employee ID]],Tbl_Employee_Details[],16,FALSE)</f>
        <v>44.530555555555559</v>
      </c>
      <c r="F283" t="str">
        <f>VLOOKUP(Table4[[#This Row],[Employee ID]],Tbl_Employee_Details[],18,FALSE)</f>
        <v>Bangalore</v>
      </c>
      <c r="G283" t="str">
        <f>VLOOKUP(Table4[[#This Row],[Employee ID]],Tbl_Emp_Onboarding[],8,FALSE)</f>
        <v>Post Graduation/Masters</v>
      </c>
    </row>
    <row r="284" spans="1:7" x14ac:dyDescent="0.3">
      <c r="A284" s="17">
        <v>106751</v>
      </c>
      <c r="B284" t="str">
        <f>VLOOKUP(Table4[[#This Row],[Employee ID]],Tbl_Employee_Details[],4,0)</f>
        <v>Male</v>
      </c>
      <c r="C284" t="str">
        <f>VLOOKUP(Table4[[#This Row],[Employee ID]],Tbl_Employee_Details[],7,)</f>
        <v>Indonesia</v>
      </c>
      <c r="D284" t="str">
        <f>VLOOKUP(Table4[[#This Row],[Employee ID]],Tbl_Employee_Details[],17,FALSE)</f>
        <v>Customer Service</v>
      </c>
      <c r="E284" s="6">
        <f ca="1">VLOOKUP(Table4[[#This Row],[Employee ID]],Tbl_Employee_Details[],16,FALSE)</f>
        <v>23.591666666666665</v>
      </c>
      <c r="F284" t="str">
        <f>VLOOKUP(Table4[[#This Row],[Employee ID]],Tbl_Employee_Details[],18,FALSE)</f>
        <v>Paris</v>
      </c>
      <c r="G284" t="str">
        <f>VLOOKUP(Table4[[#This Row],[Employee ID]],Tbl_Emp_Onboarding[],8,FALSE)</f>
        <v>Student</v>
      </c>
    </row>
    <row r="285" spans="1:7" x14ac:dyDescent="0.3">
      <c r="A285" s="17">
        <v>105181</v>
      </c>
      <c r="B285" t="str">
        <f>VLOOKUP(Table4[[#This Row],[Employee ID]],Tbl_Employee_Details[],4,0)</f>
        <v>Female</v>
      </c>
      <c r="C285" t="str">
        <f>VLOOKUP(Table4[[#This Row],[Employee ID]],Tbl_Employee_Details[],7,)</f>
        <v>Indonesia</v>
      </c>
      <c r="D285" t="str">
        <f>VLOOKUP(Table4[[#This Row],[Employee ID]],Tbl_Employee_Details[],17,FALSE)</f>
        <v>Customer Service</v>
      </c>
      <c r="E285" s="6">
        <f ca="1">VLOOKUP(Table4[[#This Row],[Employee ID]],Tbl_Employee_Details[],16,FALSE)</f>
        <v>35.522222222222226</v>
      </c>
      <c r="F285" t="str">
        <f>VLOOKUP(Table4[[#This Row],[Employee ID]],Tbl_Employee_Details[],18,FALSE)</f>
        <v>Dubai</v>
      </c>
      <c r="G285" t="str">
        <f>VLOOKUP(Table4[[#This Row],[Employee ID]],Tbl_Emp_Onboarding[],8,FALSE)</f>
        <v>Student</v>
      </c>
    </row>
    <row r="286" spans="1:7" x14ac:dyDescent="0.3">
      <c r="A286" s="17">
        <v>106094</v>
      </c>
      <c r="B286" t="str">
        <f>VLOOKUP(Table4[[#This Row],[Employee ID]],Tbl_Employee_Details[],4,0)</f>
        <v>Male</v>
      </c>
      <c r="C286" t="str">
        <f>VLOOKUP(Table4[[#This Row],[Employee ID]],Tbl_Employee_Details[],7,)</f>
        <v>India</v>
      </c>
      <c r="D286" t="str">
        <f>VLOOKUP(Table4[[#This Row],[Employee ID]],Tbl_Employee_Details[],17,FALSE)</f>
        <v>Customer Service</v>
      </c>
      <c r="E286" s="6">
        <f ca="1">VLOOKUP(Table4[[#This Row],[Employee ID]],Tbl_Employee_Details[],16,FALSE)</f>
        <v>24.55</v>
      </c>
      <c r="F286" t="str">
        <f>VLOOKUP(Table4[[#This Row],[Employee ID]],Tbl_Employee_Details[],18,FALSE)</f>
        <v>Dubai</v>
      </c>
      <c r="G286" t="str">
        <f>VLOOKUP(Table4[[#This Row],[Employee ID]],Tbl_Emp_Onboarding[],8,FALSE)</f>
        <v>Undergrad</v>
      </c>
    </row>
    <row r="287" spans="1:7" x14ac:dyDescent="0.3">
      <c r="A287" s="17">
        <v>103031</v>
      </c>
      <c r="B287" t="str">
        <f>VLOOKUP(Table4[[#This Row],[Employee ID]],Tbl_Employee_Details[],4,0)</f>
        <v>Male</v>
      </c>
      <c r="C287" t="str">
        <f>VLOOKUP(Table4[[#This Row],[Employee ID]],Tbl_Employee_Details[],7,)</f>
        <v>Comoros</v>
      </c>
      <c r="D287" t="str">
        <f>VLOOKUP(Table4[[#This Row],[Employee ID]],Tbl_Employee_Details[],17,FALSE)</f>
        <v>Customer Service</v>
      </c>
      <c r="E287" s="6">
        <f ca="1">VLOOKUP(Table4[[#This Row],[Employee ID]],Tbl_Employee_Details[],16,FALSE)</f>
        <v>29.419444444444444</v>
      </c>
      <c r="F287" t="str">
        <f>VLOOKUP(Table4[[#This Row],[Employee ID]],Tbl_Employee_Details[],18,FALSE)</f>
        <v>Mumbai</v>
      </c>
      <c r="G287" t="str">
        <f>VLOOKUP(Table4[[#This Row],[Employee ID]],Tbl_Emp_Onboarding[],8,FALSE)</f>
        <v>Undergrad</v>
      </c>
    </row>
    <row r="288" spans="1:7" x14ac:dyDescent="0.3">
      <c r="A288" s="17">
        <v>103852</v>
      </c>
      <c r="B288" t="str">
        <f>VLOOKUP(Table4[[#This Row],[Employee ID]],Tbl_Employee_Details[],4,0)</f>
        <v>Male</v>
      </c>
      <c r="C288" t="str">
        <f>VLOOKUP(Table4[[#This Row],[Employee ID]],Tbl_Employee_Details[],7,)</f>
        <v>Poland</v>
      </c>
      <c r="D288" t="str">
        <f>VLOOKUP(Table4[[#This Row],[Employee ID]],Tbl_Employee_Details[],17,FALSE)</f>
        <v>Customer Service</v>
      </c>
      <c r="E288" s="6">
        <f ca="1">VLOOKUP(Table4[[#This Row],[Employee ID]],Tbl_Employee_Details[],16,FALSE)</f>
        <v>34.105555555555554</v>
      </c>
      <c r="F288" t="str">
        <f>VLOOKUP(Table4[[#This Row],[Employee ID]],Tbl_Employee_Details[],18,FALSE)</f>
        <v>Toulouse</v>
      </c>
      <c r="G288" t="str">
        <f>VLOOKUP(Table4[[#This Row],[Employee ID]],Tbl_Emp_Onboarding[],8,FALSE)</f>
        <v>Undergrad</v>
      </c>
    </row>
    <row r="289" spans="1:7" x14ac:dyDescent="0.3">
      <c r="A289" s="17">
        <v>103678</v>
      </c>
      <c r="B289" t="str">
        <f>VLOOKUP(Table4[[#This Row],[Employee ID]],Tbl_Employee_Details[],4,0)</f>
        <v>Male</v>
      </c>
      <c r="C289" t="str">
        <f>VLOOKUP(Table4[[#This Row],[Employee ID]],Tbl_Employee_Details[],7,)</f>
        <v>China</v>
      </c>
      <c r="D289" t="str">
        <f>VLOOKUP(Table4[[#This Row],[Employee ID]],Tbl_Employee_Details[],17,FALSE)</f>
        <v>Organizational</v>
      </c>
      <c r="E289" s="6">
        <f ca="1">VLOOKUP(Table4[[#This Row],[Employee ID]],Tbl_Employee_Details[],16,FALSE)</f>
        <v>40.43611111111111</v>
      </c>
      <c r="F289" t="str">
        <f>VLOOKUP(Table4[[#This Row],[Employee ID]],Tbl_Employee_Details[],18,FALSE)</f>
        <v>London</v>
      </c>
      <c r="G289" t="str">
        <f>VLOOKUP(Table4[[#This Row],[Employee ID]],Tbl_Emp_Onboarding[],8,FALSE)</f>
        <v>Post Graduation/Masters</v>
      </c>
    </row>
    <row r="290" spans="1:7" x14ac:dyDescent="0.3">
      <c r="A290" s="17">
        <v>102205</v>
      </c>
      <c r="B290" t="str">
        <f>VLOOKUP(Table4[[#This Row],[Employee ID]],Tbl_Employee_Details[],4,0)</f>
        <v>Male</v>
      </c>
      <c r="C290" t="str">
        <f>VLOOKUP(Table4[[#This Row],[Employee ID]],Tbl_Employee_Details[],7,)</f>
        <v>Netherlands</v>
      </c>
      <c r="D290" t="str">
        <f>VLOOKUP(Table4[[#This Row],[Employee ID]],Tbl_Employee_Details[],17,FALSE)</f>
        <v>Customer Service</v>
      </c>
      <c r="E290" s="6">
        <f ca="1">VLOOKUP(Table4[[#This Row],[Employee ID]],Tbl_Employee_Details[],16,FALSE)</f>
        <v>21.486111111111111</v>
      </c>
      <c r="F290" t="str">
        <f>VLOOKUP(Table4[[#This Row],[Employee ID]],Tbl_Employee_Details[],18,FALSE)</f>
        <v>Toulouse</v>
      </c>
      <c r="G290" t="str">
        <f>VLOOKUP(Table4[[#This Row],[Employee ID]],Tbl_Emp_Onboarding[],8,FALSE)</f>
        <v>Graduation/Bachelors</v>
      </c>
    </row>
    <row r="291" spans="1:7" x14ac:dyDescent="0.3">
      <c r="A291" s="17">
        <v>107564</v>
      </c>
      <c r="B291" t="str">
        <f>VLOOKUP(Table4[[#This Row],[Employee ID]],Tbl_Employee_Details[],4,0)</f>
        <v>Female</v>
      </c>
      <c r="C291" t="str">
        <f>VLOOKUP(Table4[[#This Row],[Employee ID]],Tbl_Employee_Details[],7,)</f>
        <v>Russia</v>
      </c>
      <c r="D291" t="str">
        <f>VLOOKUP(Table4[[#This Row],[Employee ID]],Tbl_Employee_Details[],17,FALSE)</f>
        <v>Customer Service</v>
      </c>
      <c r="E291" s="6">
        <f ca="1">VLOOKUP(Table4[[#This Row],[Employee ID]],Tbl_Employee_Details[],16,FALSE)</f>
        <v>43.836111111111109</v>
      </c>
      <c r="F291" t="str">
        <f>VLOOKUP(Table4[[#This Row],[Employee ID]],Tbl_Employee_Details[],18,FALSE)</f>
        <v>California</v>
      </c>
      <c r="G291" t="str">
        <f>VLOOKUP(Table4[[#This Row],[Employee ID]],Tbl_Emp_Onboarding[],8,FALSE)</f>
        <v>Undergrad</v>
      </c>
    </row>
    <row r="292" spans="1:7" x14ac:dyDescent="0.3">
      <c r="A292" s="17">
        <v>103536</v>
      </c>
      <c r="B292" t="str">
        <f>VLOOKUP(Table4[[#This Row],[Employee ID]],Tbl_Employee_Details[],4,0)</f>
        <v>Male</v>
      </c>
      <c r="C292" t="str">
        <f>VLOOKUP(Table4[[#This Row],[Employee ID]],Tbl_Employee_Details[],7,)</f>
        <v>Peru</v>
      </c>
      <c r="D292" t="str">
        <f>VLOOKUP(Table4[[#This Row],[Employee ID]],Tbl_Employee_Details[],17,FALSE)</f>
        <v>Customer Service</v>
      </c>
      <c r="E292" s="6">
        <f ca="1">VLOOKUP(Table4[[#This Row],[Employee ID]],Tbl_Employee_Details[],16,FALSE)</f>
        <v>39.947222222222223</v>
      </c>
      <c r="F292" t="str">
        <f>VLOOKUP(Table4[[#This Row],[Employee ID]],Tbl_Employee_Details[],18,FALSE)</f>
        <v>Dubai</v>
      </c>
      <c r="G292" t="str">
        <f>VLOOKUP(Table4[[#This Row],[Employee ID]],Tbl_Emp_Onboarding[],8,FALSE)</f>
        <v>Undergrad</v>
      </c>
    </row>
    <row r="293" spans="1:7" x14ac:dyDescent="0.3">
      <c r="A293" s="17">
        <v>103434</v>
      </c>
      <c r="B293" t="str">
        <f>VLOOKUP(Table4[[#This Row],[Employee ID]],Tbl_Employee_Details[],4,0)</f>
        <v>Male</v>
      </c>
      <c r="C293" t="str">
        <f>VLOOKUP(Table4[[#This Row],[Employee ID]],Tbl_Employee_Details[],7,)</f>
        <v>Finland</v>
      </c>
      <c r="D293" t="str">
        <f>VLOOKUP(Table4[[#This Row],[Employee ID]],Tbl_Employee_Details[],17,FALSE)</f>
        <v>Customer Service</v>
      </c>
      <c r="E293" s="6">
        <f ca="1">VLOOKUP(Table4[[#This Row],[Employee ID]],Tbl_Employee_Details[],16,FALSE)</f>
        <v>29.475000000000001</v>
      </c>
      <c r="F293" t="str">
        <f>VLOOKUP(Table4[[#This Row],[Employee ID]],Tbl_Employee_Details[],18,FALSE)</f>
        <v>California</v>
      </c>
      <c r="G293" t="str">
        <f>VLOOKUP(Table4[[#This Row],[Employee ID]],Tbl_Emp_Onboarding[],8,FALSE)</f>
        <v>Graduation/Bachelors</v>
      </c>
    </row>
    <row r="294" spans="1:7" x14ac:dyDescent="0.3">
      <c r="A294" s="17">
        <v>102713</v>
      </c>
      <c r="B294" t="str">
        <f>VLOOKUP(Table4[[#This Row],[Employee ID]],Tbl_Employee_Details[],4,0)</f>
        <v>Male</v>
      </c>
      <c r="C294" t="str">
        <f>VLOOKUP(Table4[[#This Row],[Employee ID]],Tbl_Employee_Details[],7,)</f>
        <v>China</v>
      </c>
      <c r="D294" t="str">
        <f>VLOOKUP(Table4[[#This Row],[Employee ID]],Tbl_Employee_Details[],17,FALSE)</f>
        <v>Customer Service</v>
      </c>
      <c r="E294" s="6">
        <f ca="1">VLOOKUP(Table4[[#This Row],[Employee ID]],Tbl_Employee_Details[],16,FALSE)</f>
        <v>24.324999999999999</v>
      </c>
      <c r="F294" t="str">
        <f>VLOOKUP(Table4[[#This Row],[Employee ID]],Tbl_Employee_Details[],18,FALSE)</f>
        <v>Mumbai</v>
      </c>
      <c r="G294" t="str">
        <f>VLOOKUP(Table4[[#This Row],[Employee ID]],Tbl_Emp_Onboarding[],8,FALSE)</f>
        <v>Student</v>
      </c>
    </row>
    <row r="295" spans="1:7" x14ac:dyDescent="0.3">
      <c r="A295" s="17">
        <v>106345</v>
      </c>
      <c r="B295" t="str">
        <f>VLOOKUP(Table4[[#This Row],[Employee ID]],Tbl_Employee_Details[],4,0)</f>
        <v>Female</v>
      </c>
      <c r="C295" t="str">
        <f>VLOOKUP(Table4[[#This Row],[Employee ID]],Tbl_Employee_Details[],7,)</f>
        <v>France</v>
      </c>
      <c r="D295" t="str">
        <f>VLOOKUP(Table4[[#This Row],[Employee ID]],Tbl_Employee_Details[],17,FALSE)</f>
        <v>Customer Service</v>
      </c>
      <c r="E295" s="6">
        <f ca="1">VLOOKUP(Table4[[#This Row],[Employee ID]],Tbl_Employee_Details[],16,FALSE)</f>
        <v>44.74722222222222</v>
      </c>
      <c r="F295" t="str">
        <f>VLOOKUP(Table4[[#This Row],[Employee ID]],Tbl_Employee_Details[],18,FALSE)</f>
        <v>New York</v>
      </c>
      <c r="G295" t="str">
        <f>VLOOKUP(Table4[[#This Row],[Employee ID]],Tbl_Emp_Onboarding[],8,FALSE)</f>
        <v>Graduation/Bachelors</v>
      </c>
    </row>
    <row r="296" spans="1:7" x14ac:dyDescent="0.3">
      <c r="A296" s="17">
        <v>105507</v>
      </c>
      <c r="B296" t="str">
        <f>VLOOKUP(Table4[[#This Row],[Employee ID]],Tbl_Employee_Details[],4,0)</f>
        <v>Male</v>
      </c>
      <c r="C296" t="str">
        <f>VLOOKUP(Table4[[#This Row],[Employee ID]],Tbl_Employee_Details[],7,)</f>
        <v>Mongolia</v>
      </c>
      <c r="D296" t="str">
        <f>VLOOKUP(Table4[[#This Row],[Employee ID]],Tbl_Employee_Details[],17,FALSE)</f>
        <v>Customer Service</v>
      </c>
      <c r="E296" s="6">
        <f ca="1">VLOOKUP(Table4[[#This Row],[Employee ID]],Tbl_Employee_Details[],16,FALSE)</f>
        <v>26.547222222222221</v>
      </c>
      <c r="F296" t="str">
        <f>VLOOKUP(Table4[[#This Row],[Employee ID]],Tbl_Employee_Details[],18,FALSE)</f>
        <v>London</v>
      </c>
      <c r="G296" t="str">
        <f>VLOOKUP(Table4[[#This Row],[Employee ID]],Tbl_Emp_Onboarding[],8,FALSE)</f>
        <v>PHD</v>
      </c>
    </row>
    <row r="297" spans="1:7" x14ac:dyDescent="0.3">
      <c r="A297" s="17">
        <v>104580</v>
      </c>
      <c r="B297" t="str">
        <f>VLOOKUP(Table4[[#This Row],[Employee ID]],Tbl_Employee_Details[],4,0)</f>
        <v>Female</v>
      </c>
      <c r="C297" t="str">
        <f>VLOOKUP(Table4[[#This Row],[Employee ID]],Tbl_Employee_Details[],7,)</f>
        <v>China</v>
      </c>
      <c r="D297" t="str">
        <f>VLOOKUP(Table4[[#This Row],[Employee ID]],Tbl_Employee_Details[],17,FALSE)</f>
        <v>Customer Service</v>
      </c>
      <c r="E297" s="6">
        <f ca="1">VLOOKUP(Table4[[#This Row],[Employee ID]],Tbl_Employee_Details[],16,FALSE)</f>
        <v>33.161111111111111</v>
      </c>
      <c r="F297" t="str">
        <f>VLOOKUP(Table4[[#This Row],[Employee ID]],Tbl_Employee_Details[],18,FALSE)</f>
        <v>Toulouse</v>
      </c>
      <c r="G297" t="str">
        <f>VLOOKUP(Table4[[#This Row],[Employee ID]],Tbl_Emp_Onboarding[],8,FALSE)</f>
        <v>NA</v>
      </c>
    </row>
    <row r="298" spans="1:7" x14ac:dyDescent="0.3">
      <c r="A298" s="17">
        <v>107535</v>
      </c>
      <c r="B298" t="str">
        <f>VLOOKUP(Table4[[#This Row],[Employee ID]],Tbl_Employee_Details[],4,0)</f>
        <v>Male</v>
      </c>
      <c r="C298" t="str">
        <f>VLOOKUP(Table4[[#This Row],[Employee ID]],Tbl_Employee_Details[],7,)</f>
        <v>Nigeria</v>
      </c>
      <c r="D298" t="str">
        <f>VLOOKUP(Table4[[#This Row],[Employee ID]],Tbl_Employee_Details[],17,FALSE)</f>
        <v>Organizational</v>
      </c>
      <c r="E298" s="6">
        <f ca="1">VLOOKUP(Table4[[#This Row],[Employee ID]],Tbl_Employee_Details[],16,FALSE)</f>
        <v>23.536111111111111</v>
      </c>
      <c r="F298" t="str">
        <f>VLOOKUP(Table4[[#This Row],[Employee ID]],Tbl_Employee_Details[],18,FALSE)</f>
        <v>New York</v>
      </c>
      <c r="G298" t="str">
        <f>VLOOKUP(Table4[[#This Row],[Employee ID]],Tbl_Emp_Onboarding[],8,FALSE)</f>
        <v>PHD</v>
      </c>
    </row>
    <row r="299" spans="1:7" x14ac:dyDescent="0.3">
      <c r="A299" s="17">
        <v>104978</v>
      </c>
      <c r="B299" t="str">
        <f>VLOOKUP(Table4[[#This Row],[Employee ID]],Tbl_Employee_Details[],4,0)</f>
        <v>Male</v>
      </c>
      <c r="C299" t="str">
        <f>VLOOKUP(Table4[[#This Row],[Employee ID]],Tbl_Employee_Details[],7,)</f>
        <v>Russia</v>
      </c>
      <c r="D299" t="str">
        <f>VLOOKUP(Table4[[#This Row],[Employee ID]],Tbl_Employee_Details[],17,FALSE)</f>
        <v>Customer Service</v>
      </c>
      <c r="E299" s="6">
        <f ca="1">VLOOKUP(Table4[[#This Row],[Employee ID]],Tbl_Employee_Details[],16,FALSE)</f>
        <v>38.299999999999997</v>
      </c>
      <c r="F299" t="str">
        <f>VLOOKUP(Table4[[#This Row],[Employee ID]],Tbl_Employee_Details[],18,FALSE)</f>
        <v>London</v>
      </c>
      <c r="G299" t="str">
        <f>VLOOKUP(Table4[[#This Row],[Employee ID]],Tbl_Emp_Onboarding[],8,FALSE)</f>
        <v>NA</v>
      </c>
    </row>
    <row r="300" spans="1:7" x14ac:dyDescent="0.3">
      <c r="A300" s="17">
        <v>102362</v>
      </c>
      <c r="B300" t="str">
        <f>VLOOKUP(Table4[[#This Row],[Employee ID]],Tbl_Employee_Details[],4,0)</f>
        <v>Male</v>
      </c>
      <c r="C300" t="str">
        <f>VLOOKUP(Table4[[#This Row],[Employee ID]],Tbl_Employee_Details[],7,)</f>
        <v>Russia</v>
      </c>
      <c r="D300" t="str">
        <f>VLOOKUP(Table4[[#This Row],[Employee ID]],Tbl_Employee_Details[],17,FALSE)</f>
        <v>Organizational</v>
      </c>
      <c r="E300" s="6">
        <f ca="1">VLOOKUP(Table4[[#This Row],[Employee ID]],Tbl_Employee_Details[],16,FALSE)</f>
        <v>33.155555555555559</v>
      </c>
      <c r="F300" t="str">
        <f>VLOOKUP(Table4[[#This Row],[Employee ID]],Tbl_Employee_Details[],18,FALSE)</f>
        <v>Toulouse</v>
      </c>
      <c r="G300" t="str">
        <f>VLOOKUP(Table4[[#This Row],[Employee ID]],Tbl_Emp_Onboarding[],8,FALSE)</f>
        <v>PHD</v>
      </c>
    </row>
    <row r="301" spans="1:7" x14ac:dyDescent="0.3">
      <c r="A301" s="18">
        <v>107200</v>
      </c>
      <c r="B301" t="str">
        <f>VLOOKUP(Table4[[#This Row],[Employee ID]],Tbl_Employee_Details[],4,0)</f>
        <v>Male</v>
      </c>
      <c r="C301" t="str">
        <f>VLOOKUP(Table4[[#This Row],[Employee ID]],Tbl_Employee_Details[],7,)</f>
        <v>Indonesia</v>
      </c>
      <c r="D301" t="str">
        <f>VLOOKUP(Table4[[#This Row],[Employee ID]],Tbl_Employee_Details[],17,FALSE)</f>
        <v>Customer Service</v>
      </c>
      <c r="E301" s="6">
        <f ca="1">VLOOKUP(Table4[[#This Row],[Employee ID]],Tbl_Employee_Details[],16,FALSE)</f>
        <v>28.758333333333333</v>
      </c>
      <c r="F301" t="str">
        <f>VLOOKUP(Table4[[#This Row],[Employee ID]],Tbl_Employee_Details[],18,FALSE)</f>
        <v>Mumbai</v>
      </c>
      <c r="G301" t="str">
        <f>VLOOKUP(Table4[[#This Row],[Employee ID]],Tbl_Emp_Onboarding[],8,FALSE)</f>
        <v>Student</v>
      </c>
    </row>
  </sheetData>
  <conditionalFormatting sqref="A2:A301">
    <cfRule type="duplicateValues" dxfId="9" priority="1"/>
    <cfRule type="duplicateValues" dxfId="8" priority="2"/>
    <cfRule type="duplicateValues" dxfId="7" priority="3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0682-660F-4FAF-8980-6D7DEFB69037}">
  <sheetPr codeName="Sheet5"/>
  <dimension ref="A1:I12"/>
  <sheetViews>
    <sheetView workbookViewId="0">
      <pane ySplit="1" topLeftCell="A2" activePane="bottomLeft" state="frozen"/>
      <selection pane="bottomLeft" activeCell="F2" sqref="F2:F12"/>
    </sheetView>
  </sheetViews>
  <sheetFormatPr defaultRowHeight="14.55" x14ac:dyDescent="0.3"/>
  <cols>
    <col min="1" max="1" width="21.6640625" bestFit="1" customWidth="1"/>
    <col min="2" max="2" width="15.88671875" customWidth="1"/>
    <col min="3" max="3" width="14.44140625" bestFit="1" customWidth="1"/>
    <col min="4" max="4" width="20" bestFit="1" customWidth="1"/>
    <col min="6" max="6" width="16.109375" bestFit="1" customWidth="1"/>
    <col min="7" max="7" width="15.5546875" bestFit="1" customWidth="1"/>
    <col min="8" max="8" width="11.5546875" bestFit="1" customWidth="1"/>
    <col min="9" max="9" width="18.77734375" bestFit="1" customWidth="1"/>
  </cols>
  <sheetData>
    <row r="1" spans="1:9" x14ac:dyDescent="0.3">
      <c r="A1" s="24" t="s">
        <v>7</v>
      </c>
      <c r="B1" s="24" t="s">
        <v>2473</v>
      </c>
      <c r="C1" s="24" t="s">
        <v>2474</v>
      </c>
      <c r="D1" s="25" t="s">
        <v>2475</v>
      </c>
      <c r="E1" s="25" t="s">
        <v>2476</v>
      </c>
      <c r="F1" s="25" t="s">
        <v>2477</v>
      </c>
      <c r="G1" s="25" t="s">
        <v>2478</v>
      </c>
      <c r="H1" s="25" t="s">
        <v>926</v>
      </c>
      <c r="I1" s="25" t="s">
        <v>2459</v>
      </c>
    </row>
    <row r="2" spans="1:9" x14ac:dyDescent="0.3">
      <c r="A2" t="s">
        <v>62</v>
      </c>
      <c r="B2" t="s">
        <v>113</v>
      </c>
      <c r="C2" t="s">
        <v>1002</v>
      </c>
      <c r="D2" s="16" t="s">
        <v>2465</v>
      </c>
      <c r="E2" s="16" t="s">
        <v>2466</v>
      </c>
      <c r="F2" s="19" t="s">
        <v>568</v>
      </c>
      <c r="G2" s="19" t="s">
        <v>957</v>
      </c>
      <c r="H2" s="16" t="s">
        <v>1013</v>
      </c>
      <c r="I2" s="16" t="s">
        <v>2466</v>
      </c>
    </row>
    <row r="3" spans="1:9" x14ac:dyDescent="0.3">
      <c r="A3" t="s">
        <v>50</v>
      </c>
      <c r="B3" t="s">
        <v>22</v>
      </c>
      <c r="C3" t="s">
        <v>965</v>
      </c>
      <c r="D3" s="16" t="s">
        <v>2467</v>
      </c>
      <c r="E3" s="16" t="s">
        <v>2464</v>
      </c>
      <c r="F3" s="19" t="s">
        <v>51</v>
      </c>
      <c r="G3" s="19" t="s">
        <v>964</v>
      </c>
      <c r="H3" s="16" t="s">
        <v>2479</v>
      </c>
      <c r="I3" s="16" t="s">
        <v>2464</v>
      </c>
    </row>
    <row r="4" spans="1:9" x14ac:dyDescent="0.3">
      <c r="A4" t="s">
        <v>21</v>
      </c>
      <c r="C4" t="s">
        <v>941</v>
      </c>
      <c r="D4" s="16" t="s">
        <v>2470</v>
      </c>
      <c r="E4" s="16" t="s">
        <v>17</v>
      </c>
      <c r="F4" s="19" t="s">
        <v>63</v>
      </c>
      <c r="G4" s="19" t="s">
        <v>940</v>
      </c>
      <c r="H4" s="16" t="s">
        <v>989</v>
      </c>
      <c r="I4" s="16" t="s">
        <v>2468</v>
      </c>
    </row>
    <row r="5" spans="1:9" x14ac:dyDescent="0.3">
      <c r="A5" t="s">
        <v>55</v>
      </c>
      <c r="C5" t="s">
        <v>977</v>
      </c>
      <c r="D5" s="16" t="s">
        <v>2469</v>
      </c>
      <c r="E5" s="16"/>
      <c r="F5" s="19" t="s">
        <v>129</v>
      </c>
      <c r="G5" s="19" t="s">
        <v>1262</v>
      </c>
      <c r="H5" s="16" t="s">
        <v>983</v>
      </c>
    </row>
    <row r="6" spans="1:9" x14ac:dyDescent="0.3">
      <c r="A6" t="s">
        <v>12</v>
      </c>
      <c r="C6" t="s">
        <v>949</v>
      </c>
      <c r="D6" s="16"/>
      <c r="E6" s="16"/>
      <c r="F6" s="19" t="s">
        <v>22</v>
      </c>
      <c r="G6" s="19" t="s">
        <v>990</v>
      </c>
      <c r="H6" s="16" t="s">
        <v>956</v>
      </c>
    </row>
    <row r="7" spans="1:9" x14ac:dyDescent="0.3">
      <c r="A7" t="s">
        <v>17</v>
      </c>
      <c r="C7" t="s">
        <v>958</v>
      </c>
      <c r="D7" s="16"/>
      <c r="E7" s="16"/>
      <c r="F7" s="19" t="s">
        <v>85</v>
      </c>
      <c r="G7" s="19" t="s">
        <v>1055</v>
      </c>
      <c r="H7" s="16" t="s">
        <v>947</v>
      </c>
    </row>
    <row r="8" spans="1:9" x14ac:dyDescent="0.3">
      <c r="C8" t="s">
        <v>996</v>
      </c>
      <c r="D8" s="16"/>
      <c r="E8" s="16"/>
      <c r="F8" s="19" t="s">
        <v>35</v>
      </c>
      <c r="G8" s="19" t="s">
        <v>1413</v>
      </c>
      <c r="H8" s="16" t="s">
        <v>1066</v>
      </c>
    </row>
    <row r="9" spans="1:9" x14ac:dyDescent="0.3">
      <c r="C9" t="s">
        <v>1019</v>
      </c>
      <c r="D9" s="16"/>
      <c r="E9" s="16"/>
      <c r="F9" s="19" t="s">
        <v>2480</v>
      </c>
      <c r="G9" s="19" t="s">
        <v>1559</v>
      </c>
      <c r="H9" s="16" t="s">
        <v>939</v>
      </c>
    </row>
    <row r="10" spans="1:9" x14ac:dyDescent="0.3">
      <c r="D10" s="16"/>
      <c r="E10" s="16"/>
      <c r="F10" s="19" t="s">
        <v>2481</v>
      </c>
      <c r="G10" s="19" t="s">
        <v>1660</v>
      </c>
    </row>
    <row r="11" spans="1:9" x14ac:dyDescent="0.3">
      <c r="D11" s="16"/>
      <c r="E11" s="16"/>
      <c r="F11" s="19" t="s">
        <v>113</v>
      </c>
      <c r="G11" s="19" t="s">
        <v>948</v>
      </c>
    </row>
    <row r="12" spans="1:9" x14ac:dyDescent="0.3">
      <c r="D12" s="16"/>
      <c r="E12" s="16"/>
      <c r="F12" s="19" t="s">
        <v>13</v>
      </c>
      <c r="G12" s="19" t="s">
        <v>976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Employee Onboarding</vt:lpstr>
      <vt:lpstr>Employee Details</vt:lpstr>
      <vt:lpstr>Exit Formalities</vt:lpstr>
      <vt:lpstr>Diversity</vt:lpstr>
      <vt:lpstr>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Kiran TL</dc:creator>
  <cp:keywords/>
  <dc:description/>
  <cp:lastModifiedBy>Kiran TL</cp:lastModifiedBy>
  <cp:revision/>
  <dcterms:created xsi:type="dcterms:W3CDTF">2015-06-05T18:17:20Z</dcterms:created>
  <dcterms:modified xsi:type="dcterms:W3CDTF">2020-10-09T17:28:54Z</dcterms:modified>
  <cp:category/>
  <cp:contentStatus/>
</cp:coreProperties>
</file>